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my\OneDrive\Desktop\_DBR Mudanças\Financeiro\"/>
    </mc:Choice>
  </mc:AlternateContent>
  <xr:revisionPtr revIDLastSave="0" documentId="13_ncr:1_{4574A761-B6BD-4EDD-A668-564A8E0D797E}" xr6:coauthVersionLast="47" xr6:coauthVersionMax="47" xr10:uidLastSave="{00000000-0000-0000-0000-000000000000}"/>
  <bookViews>
    <workbookView xWindow="-108" yWindow="-108" windowWidth="23256" windowHeight="12456" firstSheet="2" activeTab="10" xr2:uid="{2A4416F1-AC1A-4CA4-9A3F-0CE1806AB49B}"/>
  </bookViews>
  <sheets>
    <sheet name="JANEIRO" sheetId="15" r:id="rId1"/>
    <sheet name="FEVEREIRO" sheetId="21" r:id="rId2"/>
    <sheet name="MARÇO" sheetId="23" r:id="rId3"/>
    <sheet name="ABRIL" sheetId="24" r:id="rId4"/>
    <sheet name="MAIO" sheetId="25" r:id="rId5"/>
    <sheet name="JUNHO" sheetId="26" r:id="rId6"/>
    <sheet name="Base CR" sheetId="10" r:id="rId7"/>
    <sheet name="Base CP" sheetId="16" r:id="rId8"/>
    <sheet name="Detalhes1" sheetId="32" r:id="rId9"/>
    <sheet name="Din_CR" sheetId="22" r:id="rId10"/>
    <sheet name="Din_CP" sheetId="31" r:id="rId11"/>
    <sheet name="Contas a Pagar" sheetId="19" r:id="rId12"/>
  </sheets>
  <definedNames>
    <definedName name="_xlnm._FilterDatabase" localSheetId="3" hidden="1">ABRIL!$A$42:$C$42</definedName>
    <definedName name="_xlnm._FilterDatabase" localSheetId="7" hidden="1">'Base CP'!$A$2:$E$225</definedName>
    <definedName name="_xlnm._FilterDatabase" localSheetId="6" hidden="1">'Base CR'!$A$1:$E$67</definedName>
    <definedName name="_xlnm._FilterDatabase" localSheetId="11" hidden="1">'Contas a Pagar'!$A$3:$AB$3</definedName>
    <definedName name="_xlnm._FilterDatabase" localSheetId="1" hidden="1">FEVEREIRO!$A$4:$G$21</definedName>
    <definedName name="_xlnm._FilterDatabase" localSheetId="0" hidden="1">JANEIRO!$A$4:$G$28</definedName>
    <definedName name="_xlnm._FilterDatabase" localSheetId="5" hidden="1">JUNHO!$A$42:$C$42</definedName>
    <definedName name="_xlnm._FilterDatabase" localSheetId="4" hidden="1">MAIO!$A$51:$C$51</definedName>
    <definedName name="_xlnm._FilterDatabase" localSheetId="2" hidden="1">MARÇO!$A$70:$C$70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26" l="1"/>
  <c r="C27" i="26"/>
  <c r="D34" i="26"/>
  <c r="C34" i="26"/>
  <c r="D23" i="26"/>
  <c r="C23" i="26"/>
  <c r="C14" i="25"/>
  <c r="C93" i="25"/>
  <c r="E22" i="21"/>
  <c r="C112" i="21"/>
  <c r="B225" i="16"/>
  <c r="B224" i="16"/>
  <c r="B223" i="16"/>
  <c r="B222" i="16"/>
  <c r="B221" i="16"/>
  <c r="B220" i="16"/>
  <c r="B219" i="16"/>
  <c r="B218" i="16"/>
  <c r="B217" i="16"/>
  <c r="B216" i="16"/>
  <c r="B215" i="16"/>
  <c r="B214" i="16"/>
  <c r="C110" i="21"/>
  <c r="C111" i="21"/>
  <c r="C109" i="21"/>
  <c r="E86" i="16"/>
  <c r="E54" i="16"/>
  <c r="E70" i="16"/>
  <c r="C65" i="21"/>
  <c r="C47" i="25"/>
  <c r="C32" i="25"/>
  <c r="C38" i="24"/>
  <c r="D38" i="24"/>
  <c r="E75" i="16"/>
  <c r="E59" i="16"/>
  <c r="E44" i="16"/>
  <c r="E29" i="16"/>
  <c r="E15" i="16"/>
  <c r="B213" i="16"/>
  <c r="B212" i="16"/>
  <c r="B211" i="16"/>
  <c r="B210" i="16"/>
  <c r="B209" i="16"/>
  <c r="B208" i="16"/>
  <c r="B207" i="16"/>
  <c r="B206" i="16"/>
  <c r="B205" i="16"/>
  <c r="B204" i="16"/>
  <c r="B203" i="16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C68" i="15"/>
  <c r="B24" i="16"/>
  <c r="B181" i="16"/>
  <c r="B165" i="16"/>
  <c r="B149" i="16"/>
  <c r="B133" i="16"/>
  <c r="B117" i="16"/>
  <c r="B101" i="16"/>
  <c r="B85" i="16"/>
  <c r="B69" i="16"/>
  <c r="B53" i="16"/>
  <c r="B38" i="16"/>
  <c r="B10" i="16"/>
  <c r="B180" i="16"/>
  <c r="B164" i="16"/>
  <c r="B148" i="16"/>
  <c r="B132" i="16"/>
  <c r="B116" i="16"/>
  <c r="B100" i="16"/>
  <c r="B84" i="16"/>
  <c r="B68" i="16"/>
  <c r="B52" i="16"/>
  <c r="B37" i="16"/>
  <c r="B23" i="16"/>
  <c r="B9" i="16"/>
  <c r="B189" i="16"/>
  <c r="B173" i="16"/>
  <c r="B157" i="16"/>
  <c r="B141" i="16"/>
  <c r="B125" i="16"/>
  <c r="B109" i="16"/>
  <c r="B93" i="16"/>
  <c r="B77" i="16"/>
  <c r="B61" i="16"/>
  <c r="B185" i="16"/>
  <c r="B169" i="16"/>
  <c r="B153" i="16"/>
  <c r="B137" i="16"/>
  <c r="B121" i="16"/>
  <c r="B105" i="16"/>
  <c r="B89" i="16"/>
  <c r="B73" i="16"/>
  <c r="B57" i="16"/>
  <c r="B42" i="16"/>
  <c r="B28" i="16"/>
  <c r="B14" i="16"/>
  <c r="B176" i="16"/>
  <c r="B175" i="16"/>
  <c r="B160" i="16"/>
  <c r="B159" i="16"/>
  <c r="B144" i="16"/>
  <c r="B143" i="16"/>
  <c r="B128" i="16"/>
  <c r="B127" i="16"/>
  <c r="B112" i="16"/>
  <c r="B111" i="16"/>
  <c r="B96" i="16"/>
  <c r="B95" i="16"/>
  <c r="B80" i="16"/>
  <c r="B79" i="16"/>
  <c r="B64" i="16"/>
  <c r="B63" i="16"/>
  <c r="B48" i="16"/>
  <c r="B47" i="16"/>
  <c r="B33" i="16"/>
  <c r="B32" i="16"/>
  <c r="B19" i="16"/>
  <c r="B18" i="16"/>
  <c r="B5" i="16"/>
  <c r="B4" i="16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87" i="26"/>
  <c r="C86" i="26"/>
  <c r="C91" i="26"/>
  <c r="C61" i="26"/>
  <c r="C50" i="26"/>
  <c r="D13" i="26"/>
  <c r="C13" i="26"/>
  <c r="C70" i="25"/>
  <c r="C59" i="25"/>
  <c r="D16" i="25"/>
  <c r="C16" i="25"/>
  <c r="AA10" i="19"/>
  <c r="AA19" i="19"/>
  <c r="AA17" i="19"/>
  <c r="AA18" i="19"/>
  <c r="AA20" i="19"/>
  <c r="AA21" i="19"/>
  <c r="AA22" i="19"/>
  <c r="AA23" i="19"/>
  <c r="AA14" i="19"/>
  <c r="AA6" i="19"/>
  <c r="AA5" i="19"/>
  <c r="AA7" i="19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89" i="24"/>
  <c r="C61" i="24"/>
  <c r="C50" i="24"/>
  <c r="D13" i="24"/>
  <c r="C13" i="24"/>
  <c r="C95" i="24" s="1"/>
  <c r="C31" i="10"/>
  <c r="C12" i="10"/>
  <c r="C27" i="10"/>
  <c r="C40" i="10"/>
  <c r="C41" i="10"/>
  <c r="C42" i="10"/>
  <c r="C2" i="10"/>
  <c r="C3" i="10"/>
  <c r="C4" i="10"/>
  <c r="C5" i="10"/>
  <c r="C6" i="10"/>
  <c r="C7" i="10"/>
  <c r="C8" i="10"/>
  <c r="C9" i="10"/>
  <c r="C10" i="10"/>
  <c r="C11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8" i="10"/>
  <c r="C29" i="10"/>
  <c r="C30" i="10"/>
  <c r="C32" i="10"/>
  <c r="C33" i="10"/>
  <c r="C34" i="10"/>
  <c r="C35" i="10"/>
  <c r="C36" i="10"/>
  <c r="C37" i="10"/>
  <c r="C38" i="10"/>
  <c r="C39" i="10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C24" i="19"/>
  <c r="AB13" i="19"/>
  <c r="AB19" i="19"/>
  <c r="AB17" i="19"/>
  <c r="AB12" i="19"/>
  <c r="AB9" i="19"/>
  <c r="AB11" i="19"/>
  <c r="AB16" i="19"/>
  <c r="AB15" i="19"/>
  <c r="AB8" i="19"/>
  <c r="AB10" i="19"/>
  <c r="AB5" i="19"/>
  <c r="AA8" i="19"/>
  <c r="AA15" i="19"/>
  <c r="AA13" i="19"/>
  <c r="AA16" i="19"/>
  <c r="AA11" i="19"/>
  <c r="AA9" i="19"/>
  <c r="AA12" i="19"/>
  <c r="B179" i="16"/>
  <c r="B163" i="16"/>
  <c r="B147" i="16"/>
  <c r="B131" i="16"/>
  <c r="B115" i="16"/>
  <c r="B99" i="16"/>
  <c r="B83" i="16"/>
  <c r="B67" i="16"/>
  <c r="B51" i="16"/>
  <c r="B36" i="16"/>
  <c r="B21" i="16"/>
  <c r="C111" i="23"/>
  <c r="C85" i="23"/>
  <c r="C74" i="23"/>
  <c r="C65" i="23"/>
  <c r="G25" i="23"/>
  <c r="D25" i="23"/>
  <c r="C25" i="23"/>
  <c r="C117" i="23" s="1"/>
  <c r="C28" i="15"/>
  <c r="E34" i="26" l="1"/>
  <c r="C37" i="26"/>
  <c r="E23" i="26"/>
  <c r="D202" i="16"/>
  <c r="C87" i="25"/>
  <c r="D194" i="16"/>
  <c r="D206" i="16"/>
  <c r="E206" i="16" s="1"/>
  <c r="C94" i="25"/>
  <c r="C113" i="21"/>
  <c r="E215" i="16"/>
  <c r="D203" i="16"/>
  <c r="E38" i="24"/>
  <c r="D87" i="26"/>
  <c r="E87" i="26"/>
  <c r="E86" i="26"/>
  <c r="D86" i="26"/>
  <c r="E91" i="26"/>
  <c r="C97" i="26"/>
  <c r="E13" i="26"/>
  <c r="C81" i="26"/>
  <c r="C100" i="25"/>
  <c r="E16" i="25"/>
  <c r="C79" i="24"/>
  <c r="E13" i="24"/>
  <c r="AB24" i="19"/>
  <c r="AA24" i="19"/>
  <c r="C101" i="23"/>
  <c r="C102" i="23" s="1"/>
  <c r="C118" i="23" s="1"/>
  <c r="C119" i="23" s="1"/>
  <c r="C120" i="23" s="1"/>
  <c r="E25" i="23"/>
  <c r="E26" i="15"/>
  <c r="C87" i="21"/>
  <c r="C76" i="21"/>
  <c r="C44" i="21"/>
  <c r="D191" i="16" s="1"/>
  <c r="E191" i="16" s="1"/>
  <c r="D22" i="21"/>
  <c r="C22" i="21"/>
  <c r="C119" i="21" s="1"/>
  <c r="E24" i="15"/>
  <c r="E19" i="15"/>
  <c r="M9" i="15"/>
  <c r="E17" i="15"/>
  <c r="C39" i="15"/>
  <c r="E18" i="15"/>
  <c r="E20" i="15"/>
  <c r="C37" i="15"/>
  <c r="E8" i="15"/>
  <c r="E10" i="15"/>
  <c r="E12" i="15"/>
  <c r="E13" i="15"/>
  <c r="E11" i="15"/>
  <c r="E16" i="15"/>
  <c r="E194" i="16" l="1"/>
  <c r="E202" i="16"/>
  <c r="E218" i="16"/>
  <c r="E203" i="16"/>
  <c r="C80" i="24"/>
  <c r="C96" i="24" s="1"/>
  <c r="C97" i="24" s="1"/>
  <c r="C98" i="24" s="1"/>
  <c r="C48" i="15"/>
  <c r="D190" i="16" s="1"/>
  <c r="E190" i="16" s="1"/>
  <c r="D91" i="26"/>
  <c r="E219" i="16" s="1"/>
  <c r="C82" i="26"/>
  <c r="C98" i="26" s="1"/>
  <c r="C88" i="25"/>
  <c r="E21" i="15"/>
  <c r="C104" i="21"/>
  <c r="C101" i="25" l="1"/>
  <c r="C102" i="25" s="1"/>
  <c r="C99" i="26"/>
  <c r="C100" i="26" s="1"/>
  <c r="C105" i="21"/>
  <c r="C120" i="21" s="1"/>
  <c r="C121" i="21" s="1"/>
  <c r="C122" i="21" s="1"/>
  <c r="E6" i="15"/>
  <c r="E7" i="15"/>
  <c r="E9" i="15"/>
  <c r="E14" i="15"/>
  <c r="E22" i="15"/>
  <c r="E23" i="15"/>
  <c r="E5" i="15"/>
  <c r="C103" i="25" l="1"/>
  <c r="M11" i="15"/>
  <c r="B30" i="16" l="1"/>
  <c r="B187" i="16" l="1"/>
  <c r="B171" i="16"/>
  <c r="B155" i="16"/>
  <c r="B139" i="16"/>
  <c r="B123" i="16"/>
  <c r="B107" i="16"/>
  <c r="B91" i="16"/>
  <c r="B75" i="16"/>
  <c r="B59" i="16"/>
  <c r="B44" i="16"/>
  <c r="B29" i="16"/>
  <c r="B15" i="16"/>
  <c r="B188" i="16"/>
  <c r="B172" i="16"/>
  <c r="B156" i="16"/>
  <c r="B140" i="16"/>
  <c r="B124" i="16"/>
  <c r="B108" i="16"/>
  <c r="B92" i="16"/>
  <c r="B76" i="16"/>
  <c r="B60" i="16"/>
  <c r="B45" i="16"/>
  <c r="B16" i="16"/>
  <c r="B186" i="16"/>
  <c r="B170" i="16"/>
  <c r="B154" i="16"/>
  <c r="B138" i="16"/>
  <c r="B122" i="16"/>
  <c r="B106" i="16"/>
  <c r="B90" i="16"/>
  <c r="B74" i="16"/>
  <c r="B58" i="16"/>
  <c r="B43" i="16"/>
  <c r="B184" i="16"/>
  <c r="B168" i="16"/>
  <c r="B152" i="16"/>
  <c r="B136" i="16"/>
  <c r="B120" i="16"/>
  <c r="B104" i="16"/>
  <c r="B88" i="16"/>
  <c r="B72" i="16"/>
  <c r="B56" i="16"/>
  <c r="B41" i="16"/>
  <c r="B27" i="16"/>
  <c r="B13" i="16"/>
  <c r="B183" i="16"/>
  <c r="B167" i="16"/>
  <c r="B151" i="16"/>
  <c r="B135" i="16"/>
  <c r="B119" i="16"/>
  <c r="B103" i="16"/>
  <c r="B87" i="16"/>
  <c r="B71" i="16"/>
  <c r="B55" i="16"/>
  <c r="B40" i="16"/>
  <c r="B26" i="16"/>
  <c r="B12" i="16"/>
  <c r="B182" i="16"/>
  <c r="B166" i="16"/>
  <c r="B150" i="16"/>
  <c r="B134" i="16"/>
  <c r="B118" i="16"/>
  <c r="B102" i="16"/>
  <c r="B86" i="16"/>
  <c r="B70" i="16"/>
  <c r="B54" i="16"/>
  <c r="B39" i="16"/>
  <c r="B25" i="16"/>
  <c r="B11" i="16"/>
  <c r="B178" i="16"/>
  <c r="B162" i="16"/>
  <c r="B146" i="16"/>
  <c r="B130" i="16"/>
  <c r="B114" i="16"/>
  <c r="B98" i="16"/>
  <c r="B82" i="16"/>
  <c r="B66" i="16"/>
  <c r="B50" i="16"/>
  <c r="B35" i="16"/>
  <c r="B22" i="16"/>
  <c r="B8" i="16"/>
  <c r="B7" i="16"/>
  <c r="B177" i="16"/>
  <c r="B161" i="16"/>
  <c r="B145" i="16"/>
  <c r="B129" i="16"/>
  <c r="B113" i="16"/>
  <c r="B97" i="16"/>
  <c r="B81" i="16"/>
  <c r="B65" i="16"/>
  <c r="B49" i="16"/>
  <c r="B34" i="16"/>
  <c r="B20" i="16"/>
  <c r="B6" i="16"/>
  <c r="B174" i="16"/>
  <c r="B158" i="16"/>
  <c r="B142" i="16"/>
  <c r="B126" i="16"/>
  <c r="B110" i="16"/>
  <c r="B94" i="16"/>
  <c r="B78" i="16"/>
  <c r="B62" i="16"/>
  <c r="B46" i="16"/>
  <c r="B31" i="16"/>
  <c r="B17" i="16"/>
  <c r="B3" i="16"/>
  <c r="K12" i="15"/>
  <c r="M8" i="15" l="1"/>
  <c r="M7" i="15"/>
  <c r="L12" i="15"/>
  <c r="M5" i="15" l="1"/>
  <c r="M12" i="15" s="1"/>
  <c r="C81" i="15" l="1"/>
  <c r="C76" i="15"/>
  <c r="C111" i="15" l="1"/>
  <c r="C108" i="15"/>
  <c r="E214" i="16" s="1"/>
  <c r="C100" i="15" l="1"/>
  <c r="C101" i="15" l="1"/>
  <c r="C112" i="15" s="1"/>
  <c r="C113" i="15" s="1"/>
  <c r="C114" i="15" l="1"/>
</calcChain>
</file>

<file path=xl/sharedStrings.xml><?xml version="1.0" encoding="utf-8"?>
<sst xmlns="http://schemas.openxmlformats.org/spreadsheetml/2006/main" count="1364" uniqueCount="261">
  <si>
    <t>Data</t>
  </si>
  <si>
    <t>Tipo</t>
  </si>
  <si>
    <t>Inter</t>
  </si>
  <si>
    <t>Local</t>
  </si>
  <si>
    <t>Valor</t>
  </si>
  <si>
    <t>ALUGUEL</t>
  </si>
  <si>
    <t>LUZ</t>
  </si>
  <si>
    <t>NET</t>
  </si>
  <si>
    <t>A receber</t>
  </si>
  <si>
    <t>Aluguel</t>
  </si>
  <si>
    <t>Alimentação</t>
  </si>
  <si>
    <t>Pagto</t>
  </si>
  <si>
    <t>Status</t>
  </si>
  <si>
    <t>Flávia</t>
  </si>
  <si>
    <t>Ellen - Contadora</t>
  </si>
  <si>
    <t>Parc Banco</t>
  </si>
  <si>
    <t>cliente</t>
  </si>
  <si>
    <t>Imposto</t>
  </si>
  <si>
    <t>DAS</t>
  </si>
  <si>
    <t>MASTER FOCO</t>
  </si>
  <si>
    <t>DESPESAS com Pessoal</t>
  </si>
  <si>
    <t>Recebido</t>
  </si>
  <si>
    <t>COMPRAS - DIVERSAS</t>
  </si>
  <si>
    <t xml:space="preserve">DESPESAS FIXAS - CONTAS A PAGAR </t>
  </si>
  <si>
    <t>Diária</t>
  </si>
  <si>
    <t xml:space="preserve">SAMMYA </t>
  </si>
  <si>
    <t>RECEITAS</t>
  </si>
  <si>
    <t>DESPESAS</t>
  </si>
  <si>
    <t>Lucro</t>
  </si>
  <si>
    <t>Total Geral</t>
  </si>
  <si>
    <t>Pro labore</t>
  </si>
  <si>
    <t>Davis</t>
  </si>
  <si>
    <t>MATÉRIA - PRIMA</t>
  </si>
  <si>
    <t>BSOFT</t>
  </si>
  <si>
    <t>Milla</t>
  </si>
  <si>
    <t>RECEITAS A RECEBER - MÊS ANTERIOR</t>
  </si>
  <si>
    <t>Trafego Pago</t>
  </si>
  <si>
    <t>José Carlos</t>
  </si>
  <si>
    <t>Dom</t>
  </si>
  <si>
    <t>SEGURO 12/25</t>
  </si>
  <si>
    <t xml:space="preserve">Wadson </t>
  </si>
  <si>
    <t>Larissa</t>
  </si>
  <si>
    <t>MUDANÇAS DBR - JANEIRO</t>
  </si>
  <si>
    <t>Adão</t>
  </si>
  <si>
    <t>Viviane</t>
  </si>
  <si>
    <t>Vagalume</t>
  </si>
  <si>
    <t>Lucimara</t>
  </si>
  <si>
    <t>Diosélia</t>
  </si>
  <si>
    <t>Maria 1x2</t>
  </si>
  <si>
    <t>CONTAS A PAGAR 2026</t>
  </si>
  <si>
    <t>Trafego pago</t>
  </si>
  <si>
    <t>Master Foco</t>
  </si>
  <si>
    <t>Net</t>
  </si>
  <si>
    <t>Energia Eletrica</t>
  </si>
  <si>
    <t>Bsoft</t>
  </si>
  <si>
    <t>Banco</t>
  </si>
  <si>
    <t>Div Ativa - Alvará</t>
  </si>
  <si>
    <t>Div Ativa - DAS</t>
  </si>
  <si>
    <t>Descrição</t>
  </si>
  <si>
    <t>Contas a Pagar 2026</t>
  </si>
  <si>
    <t>Mês</t>
  </si>
  <si>
    <t xml:space="preserve"> </t>
  </si>
  <si>
    <t>JANEIRO</t>
  </si>
  <si>
    <t>FEVEREIRO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</si>
  <si>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</si>
  <si>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</si>
  <si>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</si>
  <si>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</si>
  <si>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</si>
  <si>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</si>
  <si>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</si>
  <si>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</si>
  <si>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</si>
  <si>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TOTAL </t>
  </si>
  <si>
    <t>Alvará 2026</t>
  </si>
  <si>
    <t>MARÇO</t>
  </si>
  <si>
    <t>Elcimara</t>
  </si>
  <si>
    <t>Alexandre</t>
  </si>
  <si>
    <t>André</t>
  </si>
  <si>
    <t>Falcão</t>
  </si>
  <si>
    <t xml:space="preserve">pago </t>
  </si>
  <si>
    <t>Pago</t>
  </si>
  <si>
    <t>DESPESAS - FRETE</t>
  </si>
  <si>
    <t>Larissa/Dom</t>
  </si>
  <si>
    <t>Orçado</t>
  </si>
  <si>
    <t>Realizado</t>
  </si>
  <si>
    <t>Igreja Adv</t>
  </si>
  <si>
    <t>Caixas</t>
  </si>
  <si>
    <t>Papel Couro</t>
  </si>
  <si>
    <t>Ar condic</t>
  </si>
  <si>
    <t>Parc DAS</t>
  </si>
  <si>
    <t>Plástico Bolha</t>
  </si>
  <si>
    <t>Júlio</t>
  </si>
  <si>
    <t>João Victor</t>
  </si>
  <si>
    <t>Jaqueline</t>
  </si>
  <si>
    <t>Rafael</t>
  </si>
  <si>
    <t xml:space="preserve">Frete </t>
  </si>
  <si>
    <t>Bernardo</t>
  </si>
  <si>
    <t>Tiago</t>
  </si>
  <si>
    <t>Ketlen</t>
  </si>
  <si>
    <t>Wadson</t>
  </si>
  <si>
    <t>pago</t>
  </si>
  <si>
    <t>MUDANÇAS DBR - FEVEREIRO</t>
  </si>
  <si>
    <t xml:space="preserve">João </t>
  </si>
  <si>
    <t>Pagto 07/02</t>
  </si>
  <si>
    <t>-</t>
  </si>
  <si>
    <t>Mayara</t>
  </si>
  <si>
    <t>Janeiro</t>
  </si>
  <si>
    <t>FATURAMENTO</t>
  </si>
  <si>
    <t>DBR MUDANÇAS 2026</t>
  </si>
  <si>
    <t>Priscila</t>
  </si>
  <si>
    <t>Jeferson</t>
  </si>
  <si>
    <t>Line Produções</t>
  </si>
  <si>
    <t>Rodolfo</t>
  </si>
  <si>
    <t>Tays</t>
  </si>
  <si>
    <t>Facebook</t>
  </si>
  <si>
    <t>Joana</t>
  </si>
  <si>
    <t>MUDANÇAS DBR - MARÇO</t>
  </si>
  <si>
    <t>DBR MUDANÇAS -  CONTAS A PAGAR 2026</t>
  </si>
  <si>
    <t>Certificado Digital</t>
  </si>
  <si>
    <t>IPVA Caminhão 7436</t>
  </si>
  <si>
    <t>IPVA Palio 1067</t>
  </si>
  <si>
    <t>IPVA Ranger 0D55</t>
  </si>
  <si>
    <t>Veiculo</t>
  </si>
  <si>
    <t>Fevereiro</t>
  </si>
  <si>
    <t>Guarda-móveis</t>
  </si>
  <si>
    <t>Flávio</t>
  </si>
  <si>
    <t>Fabiano/Mayara</t>
  </si>
  <si>
    <t>Andrea</t>
  </si>
  <si>
    <t>Lisandro</t>
  </si>
  <si>
    <t>Luiz</t>
  </si>
  <si>
    <t>DBR Mudanças 2026</t>
  </si>
  <si>
    <t>Quantidade</t>
  </si>
  <si>
    <t>MUDANÇAS DBR - ABRIL</t>
  </si>
  <si>
    <t>Bruno</t>
  </si>
  <si>
    <t>Gilmara</t>
  </si>
  <si>
    <t>Fernando</t>
  </si>
  <si>
    <t>João</t>
  </si>
  <si>
    <t>Alline</t>
  </si>
  <si>
    <t>Mayanne</t>
  </si>
  <si>
    <t>Silvio</t>
  </si>
  <si>
    <t>Paul</t>
  </si>
  <si>
    <t>Cartão</t>
  </si>
  <si>
    <t>Jonival</t>
  </si>
  <si>
    <t>Regina</t>
  </si>
  <si>
    <t>Frete</t>
  </si>
  <si>
    <t>Samuel</t>
  </si>
  <si>
    <t>Raphael</t>
  </si>
  <si>
    <t>Beatriz</t>
  </si>
  <si>
    <t>Orquidea</t>
  </si>
  <si>
    <t>Pg 02/03 e 30/03</t>
  </si>
  <si>
    <t>Luiz Fernando</t>
  </si>
  <si>
    <t>Pg 11/03</t>
  </si>
  <si>
    <t>Março</t>
  </si>
  <si>
    <t>Sistema Airton</t>
  </si>
  <si>
    <t>IPTU</t>
  </si>
  <si>
    <t>Água</t>
  </si>
  <si>
    <t>Seguro</t>
  </si>
  <si>
    <t>Net/ Celular</t>
  </si>
  <si>
    <t>Dia Vcto</t>
  </si>
  <si>
    <t>Estivem</t>
  </si>
  <si>
    <t>Thays</t>
  </si>
  <si>
    <t>Suelly</t>
  </si>
  <si>
    <t>Úrsula</t>
  </si>
  <si>
    <t>Giovani</t>
  </si>
  <si>
    <t>Eliane</t>
  </si>
  <si>
    <t>Caroline</t>
  </si>
  <si>
    <t>Jean</t>
  </si>
  <si>
    <t>Francisco</t>
  </si>
  <si>
    <t>Domingos</t>
  </si>
  <si>
    <t>William</t>
  </si>
  <si>
    <t>Romildo</t>
  </si>
  <si>
    <t>Allyne</t>
  </si>
  <si>
    <t>Bruna/Fabio</t>
  </si>
  <si>
    <t>Adriana</t>
  </si>
  <si>
    <t>Janaina</t>
  </si>
  <si>
    <t>Yuna</t>
  </si>
  <si>
    <t>Naisa</t>
  </si>
  <si>
    <t>Caixa</t>
  </si>
  <si>
    <t>Iranildes</t>
  </si>
  <si>
    <t>Renata</t>
  </si>
  <si>
    <t>Aquiles</t>
  </si>
  <si>
    <t>Frete Naisa</t>
  </si>
  <si>
    <t>Frete Janaina</t>
  </si>
  <si>
    <t>Valor pago</t>
  </si>
  <si>
    <t xml:space="preserve">A pagar </t>
  </si>
  <si>
    <t>Caminhoneiro</t>
  </si>
  <si>
    <t>Cristiano</t>
  </si>
  <si>
    <t>Valor Total</t>
  </si>
  <si>
    <t>Confiança</t>
  </si>
  <si>
    <t>Abril</t>
  </si>
  <si>
    <t>Maio</t>
  </si>
  <si>
    <t>MUDANÇAS DBR - JUNHO</t>
  </si>
  <si>
    <t>MUDANÇAS DBR - MAIO</t>
  </si>
  <si>
    <t xml:space="preserve">Agua </t>
  </si>
  <si>
    <t xml:space="preserve">Seguro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</si>
  <si>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</si>
  <si>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</si>
  <si>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</si>
  <si>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</si>
  <si>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</si>
  <si>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</si>
  <si>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</si>
  <si>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</si>
  <si>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</si>
  <si>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</si>
  <si>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</si>
  <si>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</si>
  <si>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 Orçado</t>
  </si>
  <si>
    <t xml:space="preserve">  Realizado</t>
  </si>
  <si>
    <t xml:space="preserve">Contas a Pagar </t>
  </si>
  <si>
    <t xml:space="preserve">JANEIRO </t>
  </si>
  <si>
    <t xml:space="preserve">FEVEREIRO </t>
  </si>
  <si>
    <t xml:space="preserve">MARÇO </t>
  </si>
  <si>
    <t xml:space="preserve">ABRIL </t>
  </si>
  <si>
    <t xml:space="preserve">MAIO </t>
  </si>
  <si>
    <t xml:space="preserve">JUNHO </t>
  </si>
  <si>
    <t xml:space="preserve">JULHO </t>
  </si>
  <si>
    <t xml:space="preserve">AGOSTO </t>
  </si>
  <si>
    <t xml:space="preserve">SETEMBRO </t>
  </si>
  <si>
    <t xml:space="preserve">OUTUBRO </t>
  </si>
  <si>
    <t xml:space="preserve">NOVEMBRO </t>
  </si>
  <si>
    <t xml:space="preserve">DEZEMBRO </t>
  </si>
  <si>
    <t xml:space="preserve">TOTAL GERAL </t>
  </si>
  <si>
    <t xml:space="preserve">REALIZADO </t>
  </si>
  <si>
    <t>Sistema Financeiro</t>
  </si>
  <si>
    <t>Agua</t>
  </si>
  <si>
    <t>PIX</t>
  </si>
  <si>
    <t xml:space="preserve">Água </t>
  </si>
  <si>
    <t>SEGURO</t>
  </si>
  <si>
    <t>Fita/Stretch</t>
  </si>
  <si>
    <t>Manut Palio</t>
  </si>
  <si>
    <t>Mat Embalagem</t>
  </si>
  <si>
    <t>Tintas</t>
  </si>
  <si>
    <t>Kit Porta</t>
  </si>
  <si>
    <t>Alim mês</t>
  </si>
  <si>
    <t xml:space="preserve">SEGURO </t>
  </si>
  <si>
    <t>Parc DAS - 06x60</t>
  </si>
  <si>
    <t>Parc Alvará - 03x26</t>
  </si>
  <si>
    <t>Parc Alvará 02x26</t>
  </si>
  <si>
    <t>Parc DAS 05x60</t>
  </si>
  <si>
    <t>Uber</t>
  </si>
  <si>
    <t>29/02/2026</t>
  </si>
  <si>
    <t>Gasolina - Palio</t>
  </si>
  <si>
    <t>Contabilidade</t>
  </si>
  <si>
    <t>Administrativo</t>
  </si>
  <si>
    <t>DESPESAS com Pessoal - Díária</t>
  </si>
  <si>
    <t>DESPESAS com Pessoal - Alimentação</t>
  </si>
  <si>
    <t>Nova Era</t>
  </si>
  <si>
    <t>DB</t>
  </si>
  <si>
    <t>DESPESAS COM PESSOAL - DIÁRIA</t>
  </si>
  <si>
    <t>Almoço</t>
  </si>
  <si>
    <t>DESPESAS com Diária</t>
  </si>
  <si>
    <t>Empréstimo PF</t>
  </si>
  <si>
    <t xml:space="preserve">Lucimara </t>
  </si>
  <si>
    <t>Frete Inter</t>
  </si>
  <si>
    <t>DESPESAS com Pessoal - Diária</t>
  </si>
  <si>
    <t>DESPESAS com Pessoal - Almoço</t>
  </si>
  <si>
    <t>TOTAL</t>
  </si>
  <si>
    <t>fev</t>
  </si>
  <si>
    <t>Detalhes do DBR MUDANÇAS 2026 - Tipo: Guarda-móveis, Mês: 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</si>
</sst>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83A3C"/>
      <name val="Calibri"/>
      <family val="2"/>
      <scheme val="minor"/>
    </font>
    <font>
      <b/>
      <sz val="11"/>
      <color rgb="FFF2F2F2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43434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3" fillId="2" borderId="0" xfId="0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43" fontId="0" fillId="0" borderId="0" xfId="0" applyNumberFormat="1"/>
    <xf numFmtId="43" fontId="0" fillId="0" borderId="0" xfId="1" applyFont="1" applyFill="1" applyAlignment="1">
      <alignment horizontal="center"/>
    </xf>
    <xf numFmtId="43" fontId="0" fillId="0" borderId="0" xfId="1" applyFont="1" applyFill="1"/>
    <xf numFmtId="43" fontId="0" fillId="0" borderId="0" xfId="1" applyFont="1"/>
    <xf numFmtId="43" fontId="4" fillId="0" borderId="0" xfId="1" applyFont="1" applyFill="1" applyAlignment="1">
      <alignment horizontal="center"/>
    </xf>
    <xf numFmtId="43" fontId="0" fillId="0" borderId="0" xfId="0" applyNumberFormat="1" applyAlignment="1">
      <alignment horizontal="center"/>
    </xf>
    <xf numFmtId="4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3" fontId="2" fillId="0" borderId="0" xfId="1" applyFont="1" applyFill="1" applyAlignment="1">
      <alignment horizontal="center"/>
    </xf>
    <xf numFmtId="43" fontId="0" fillId="0" borderId="0" xfId="0" pivotButton="1" applyNumberFormat="1"/>
    <xf numFmtId="43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43" fontId="3" fillId="2" borderId="0" xfId="1" applyFont="1" applyFill="1" applyAlignment="1"/>
    <xf numFmtId="43" fontId="4" fillId="0" borderId="0" xfId="1" applyFont="1"/>
    <xf numFmtId="43" fontId="4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43" fontId="7" fillId="0" borderId="0" xfId="1" applyFont="1" applyFill="1" applyAlignment="1">
      <alignment horizontal="center"/>
    </xf>
    <xf numFmtId="43" fontId="7" fillId="0" borderId="0" xfId="1" applyFont="1" applyAlignment="1">
      <alignment horizontal="center"/>
    </xf>
    <xf numFmtId="43" fontId="7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7" fillId="0" borderId="0" xfId="0" applyNumberFormat="1" applyFont="1" applyAlignment="1">
      <alignment horizontal="center"/>
    </xf>
    <xf numFmtId="43" fontId="5" fillId="0" borderId="0" xfId="1" applyFont="1" applyAlignment="1">
      <alignment horizontal="center"/>
    </xf>
    <xf numFmtId="43" fontId="0" fillId="0" borderId="0" xfId="1" applyFont="1" applyFill="1" applyAlignment="1"/>
    <xf numFmtId="16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4" fillId="0" borderId="0" xfId="1" applyFont="1" applyFill="1"/>
    <xf numFmtId="43" fontId="7" fillId="0" borderId="0" xfId="1" applyFont="1" applyFill="1"/>
    <xf numFmtId="43" fontId="4" fillId="0" borderId="0" xfId="0" applyNumberFormat="1" applyFont="1" applyAlignment="1">
      <alignment horizontal="center"/>
    </xf>
    <xf numFmtId="43" fontId="9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20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0" xfId="0" applyFont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4" fontId="11" fillId="4" borderId="0" xfId="0" applyNumberFormat="1" applyFont="1" applyFill="1" applyAlignment="1">
      <alignment horizontal="center" wrapText="1"/>
    </xf>
    <xf numFmtId="0" fontId="11" fillId="4" borderId="0" xfId="0" applyFont="1" applyFill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4" fontId="7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wrapText="1"/>
    </xf>
    <xf numFmtId="43" fontId="0" fillId="0" borderId="0" xfId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12" fillId="6" borderId="0" xfId="1" applyFont="1" applyFill="1" applyBorder="1" applyAlignment="1">
      <alignment horizontal="center"/>
    </xf>
    <xf numFmtId="43" fontId="12" fillId="6" borderId="1" xfId="1" applyFont="1" applyFill="1" applyBorder="1" applyAlignment="1">
      <alignment horizontal="center"/>
    </xf>
    <xf numFmtId="43" fontId="2" fillId="5" borderId="0" xfId="1" applyFont="1" applyFill="1" applyBorder="1" applyAlignment="1">
      <alignment horizontal="center"/>
    </xf>
    <xf numFmtId="43" fontId="2" fillId="5" borderId="1" xfId="1" applyFont="1" applyFill="1" applyBorder="1" applyAlignment="1">
      <alignment horizontal="center"/>
    </xf>
    <xf numFmtId="43" fontId="7" fillId="0" borderId="0" xfId="1" applyFont="1" applyBorder="1" applyAlignment="1">
      <alignment horizontal="center"/>
    </xf>
    <xf numFmtId="43" fontId="14" fillId="5" borderId="0" xfId="1" applyFont="1" applyFill="1" applyBorder="1" applyAlignment="1">
      <alignment horizontal="center"/>
    </xf>
    <xf numFmtId="43" fontId="14" fillId="5" borderId="1" xfId="1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0" applyNumberFormat="1" applyBorder="1" applyAlignment="1">
      <alignment horizontal="center"/>
    </xf>
    <xf numFmtId="43" fontId="9" fillId="5" borderId="1" xfId="1" applyFont="1" applyFill="1" applyBorder="1" applyAlignment="1">
      <alignment horizontal="center"/>
    </xf>
    <xf numFmtId="43" fontId="1" fillId="0" borderId="0" xfId="1" applyFont="1" applyBorder="1" applyAlignment="1">
      <alignment horizontal="center"/>
    </xf>
    <xf numFmtId="14" fontId="0" fillId="8" borderId="0" xfId="0" applyNumberFormat="1" applyFill="1" applyAlignment="1">
      <alignment horizontal="center" wrapText="1"/>
    </xf>
    <xf numFmtId="0" fontId="0" fillId="8" borderId="0" xfId="0" applyFill="1" applyAlignment="1">
      <alignment horizontal="center" wrapText="1"/>
    </xf>
    <xf numFmtId="4" fontId="0" fillId="8" borderId="0" xfId="0" applyNumberFormat="1" applyFill="1" applyAlignment="1">
      <alignment horizontal="center" wrapText="1"/>
    </xf>
    <xf numFmtId="0" fontId="0" fillId="8" borderId="0" xfId="0" applyFill="1" applyAlignment="1">
      <alignment wrapText="1"/>
    </xf>
    <xf numFmtId="14" fontId="15" fillId="8" borderId="0" xfId="0" applyNumberFormat="1" applyFont="1" applyFill="1" applyAlignment="1">
      <alignment horizontal="center" wrapText="1"/>
    </xf>
    <xf numFmtId="0" fontId="15" fillId="8" borderId="0" xfId="0" applyFont="1" applyFill="1" applyAlignment="1">
      <alignment horizontal="center" wrapText="1"/>
    </xf>
    <xf numFmtId="4" fontId="15" fillId="8" borderId="0" xfId="0" applyNumberFormat="1" applyFont="1" applyFill="1" applyAlignment="1">
      <alignment horizontal="center" wrapText="1"/>
    </xf>
    <xf numFmtId="4" fontId="7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43" fontId="0" fillId="0" borderId="0" xfId="1" applyFont="1" applyAlignment="1">
      <alignment horizontal="center" wrapText="1"/>
    </xf>
    <xf numFmtId="43" fontId="7" fillId="0" borderId="0" xfId="1" applyFont="1" applyAlignment="1">
      <alignment horizontal="center" wrapText="1"/>
    </xf>
    <xf numFmtId="43" fontId="7" fillId="3" borderId="0" xfId="1" applyFont="1" applyFill="1" applyBorder="1" applyAlignment="1">
      <alignment horizontal="center"/>
    </xf>
    <xf numFmtId="0" fontId="2" fillId="0" borderId="0" xfId="1" applyNumberFormat="1" applyFont="1" applyBorder="1" applyAlignment="1">
      <alignment horizontal="center"/>
    </xf>
    <xf numFmtId="43" fontId="2" fillId="5" borderId="0" xfId="1" applyFont="1" applyFill="1" applyBorder="1" applyAlignment="1"/>
    <xf numFmtId="43" fontId="2" fillId="5" borderId="1" xfId="1" applyFont="1" applyFill="1" applyBorder="1" applyAlignment="1"/>
    <xf numFmtId="0" fontId="7" fillId="8" borderId="0" xfId="0" applyFont="1" applyFill="1" applyAlignment="1">
      <alignment horizontal="center" wrapText="1"/>
    </xf>
    <xf numFmtId="4" fontId="7" fillId="8" borderId="0" xfId="0" applyNumberFormat="1" applyFont="1" applyFill="1" applyAlignment="1">
      <alignment horizontal="center" wrapText="1"/>
    </xf>
    <xf numFmtId="14" fontId="7" fillId="8" borderId="0" xfId="0" applyNumberFormat="1" applyFont="1" applyFill="1" applyAlignment="1">
      <alignment horizontal="center" wrapText="1"/>
    </xf>
    <xf numFmtId="164" fontId="0" fillId="0" borderId="0" xfId="0" applyNumberFormat="1"/>
    <xf numFmtId="43" fontId="7" fillId="0" borderId="0" xfId="1" applyFont="1" applyAlignment="1">
      <alignment wrapText="1"/>
    </xf>
    <xf numFmtId="4" fontId="0" fillId="0" borderId="0" xfId="0" applyNumberFormat="1" applyAlignment="1">
      <alignment wrapText="1"/>
    </xf>
    <xf numFmtId="43" fontId="4" fillId="0" borderId="0" xfId="1" applyFont="1" applyFill="1" applyAlignment="1"/>
    <xf numFmtId="43" fontId="7" fillId="0" borderId="0" xfId="1" applyFont="1" applyFill="1" applyAlignment="1">
      <alignment wrapText="1"/>
    </xf>
    <xf numFmtId="43" fontId="0" fillId="0" borderId="0" xfId="1" applyFont="1" applyFill="1" applyAlignment="1">
      <alignment wrapText="1"/>
    </xf>
    <xf numFmtId="165" fontId="0" fillId="0" borderId="0" xfId="0" applyNumberFormat="1" applyAlignment="1">
      <alignment horizontal="center"/>
    </xf>
    <xf numFmtId="44" fontId="0" fillId="0" borderId="0" xfId="0" applyNumberFormat="1"/>
    <xf numFmtId="44" fontId="0" fillId="0" borderId="0" xfId="0" applyNumberFormat="1" applyAlignment="1">
      <alignment horizontal="center"/>
    </xf>
    <xf numFmtId="43" fontId="0" fillId="0" borderId="0" xfId="1" applyFont="1" applyBorder="1"/>
    <xf numFmtId="43" fontId="3" fillId="0" borderId="0" xfId="1" applyFont="1" applyFill="1" applyAlignment="1">
      <alignment horizontal="center"/>
    </xf>
    <xf numFmtId="0" fontId="3" fillId="0" borderId="0" xfId="0" applyFont="1" applyAlignment="1">
      <alignment horizontal="center"/>
    </xf>
    <xf numFmtId="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43" fontId="0" fillId="0" borderId="0" xfId="1" applyFont="1" applyFill="1" applyAlignment="1">
      <alignment horizontal="center" wrapText="1"/>
    </xf>
    <xf numFmtId="43" fontId="7" fillId="0" borderId="0" xfId="1" applyFont="1" applyFill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43" fontId="4" fillId="0" borderId="0" xfId="1" applyFont="1" applyFill="1" applyAlignment="1">
      <alignment horizontal="center" wrapText="1"/>
    </xf>
    <xf numFmtId="0" fontId="16" fillId="0" borderId="0" xfId="0" pivotButton="1" applyFont="1"/>
    <xf numFmtId="0" fontId="16" fillId="0" borderId="0" xfId="0" applyFont="1" applyAlignment="1">
      <alignment horizontal="center"/>
    </xf>
    <xf numFmtId="0" fontId="16" fillId="0" borderId="0" xfId="0" pivotButton="1" applyFont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0" borderId="3" xfId="0" applyFont="1" applyBorder="1"/>
    <xf numFmtId="0" fontId="0" fillId="0" borderId="4" xfId="0" applyBorder="1"/>
    <xf numFmtId="16" fontId="0" fillId="0" borderId="0" xfId="0" applyNumberForma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/>
    </xf>
    <xf numFmtId="43" fontId="13" fillId="7" borderId="0" xfId="1" applyFont="1" applyFill="1" applyAlignment="1">
      <alignment horizontal="center"/>
    </xf>
    <xf numFmtId="43" fontId="13" fillId="7" borderId="1" xfId="1" applyFont="1" applyFill="1" applyBorder="1" applyAlignment="1">
      <alignment horizontal="center"/>
    </xf>
    <xf numFmtId="0" fontId="2" fillId="0" borderId="0" xfId="0" applyFont="1"/>
  </cellXfs>
  <cellStyles count="2">
    <cellStyle name="Normal" xfId="0" builtinId="0"/>
    <cellStyle name="Vírgula" xfId="1" builtinId="3"/>
  </cellStyles>
  <dxfs count="50">
    <dxf>
      <numFmt numFmtId="19" formatCode="dd/mm/yyyy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general"/>
    </dxf>
    <dxf>
      <numFmt numFmtId="35" formatCode="_-* #,##0.00_-;\-* #,##0.00_-;_-* &quot;-&quot;??_-;_-@_-"/>
    </dxf>
    <dxf>
      <alignment horizontal="center"/>
    </dxf>
    <dxf>
      <alignment vertical="center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165" formatCode="&quot;R$&quot;\ #,##0.00"/>
    </dxf>
    <dxf>
      <alignment horizontal="center"/>
    </dxf>
    <dxf>
      <alignment horizontal="center"/>
    </dxf>
    <dxf>
      <alignment horizontal="center"/>
    </dxf>
    <dxf>
      <alignment horizontal="general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mya Fernandes" refreshedDate="46187.812698726855" createdVersion="8" refreshedVersion="8" minRefreshableVersion="3" recordCount="80" xr:uid="{E510E4F4-DE8B-4840-97F9-338FCD5337C6}">
  <cacheSource type="worksheet">
    <worksheetSource ref="B1:E81" sheet="Base CR"/>
  </cacheSource>
  <cacheFields count="4">
    <cacheField name="Data" numFmtId="14">
      <sharedItems containsSemiMixedTypes="0" containsNonDate="0" containsDate="1" containsString="0" minDate="2026-01-02T00:00:00" maxDate="2026-05-30T00:00:00"/>
    </cacheField>
    <cacheField name="Mês" numFmtId="14">
      <sharedItems count="5">
        <s v="jan"/>
        <s v="fev"/>
        <s v="mar"/>
        <s v="abr"/>
        <s v="mai"/>
      </sharedItems>
    </cacheField>
    <cacheField name="Tipo" numFmtId="0">
      <sharedItems count="6">
        <s v="Local"/>
        <s v="Caixas"/>
        <s v="Inter"/>
        <s v="Veiculo"/>
        <s v="Frete "/>
        <s v="Guarda-móveis"/>
      </sharedItems>
    </cacheField>
    <cacheField name="Valor" numFmtId="0">
      <sharedItems containsSemiMixedTypes="0" containsString="0" containsNumber="1" minValue="18" maxValue="52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mya Fernandes" refreshedDate="46187.931030208332" createdVersion="8" refreshedVersion="8" minRefreshableVersion="3" recordCount="223" xr:uid="{D7CDF5F4-FCFF-401B-A9AA-031F9315C657}">
  <cacheSource type="worksheet">
    <worksheetSource ref="A2:E225" sheet="Base CP"/>
  </cacheSource>
  <cacheFields count="5">
    <cacheField name="Data" numFmtId="16">
      <sharedItems containsSemiMixedTypes="0" containsNonDate="0" containsDate="1" containsString="0" minDate="2026-01-01T00:00:00" maxDate="2026-12-31T00:00:00"/>
    </cacheField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Descrição" numFmtId="0">
      <sharedItems count="19">
        <s v="Aluguel"/>
        <s v="Agua "/>
        <s v="IPTU"/>
        <s v="Trafego pago"/>
        <s v="Master Foco"/>
        <s v="Net"/>
        <s v="Contabilidade"/>
        <s v="Administrativo"/>
        <s v="Energia Eletrica"/>
        <s v="Bsoft"/>
        <s v="Empréstimo PF"/>
        <s v="Seguro "/>
        <s v="DAS"/>
        <s v="Div Ativa - DAS"/>
        <s v="Div Ativa - Alvará"/>
        <s v="Sistema Financeiro"/>
        <s v="Diária"/>
        <s v="Almoço"/>
        <s v="Frete Inter"/>
      </sharedItems>
    </cacheField>
    <cacheField name="Orçado" numFmtId="0">
      <sharedItems containsString="0" containsBlank="1" containsNumber="1" minValue="86.31" maxValue="17000"/>
    </cacheField>
    <cacheField name="Realizado" numFmtId="43">
      <sharedItems containsString="0" containsBlank="1" containsNumber="1" minValue="0" maxValue="23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d v="2026-01-02T00:00:00"/>
    <x v="0"/>
    <x v="0"/>
    <n v="2000"/>
  </r>
  <r>
    <d v="2026-01-05T00:00:00"/>
    <x v="0"/>
    <x v="0"/>
    <n v="3500"/>
  </r>
  <r>
    <d v="2026-01-06T00:00:00"/>
    <x v="0"/>
    <x v="0"/>
    <n v="2000"/>
  </r>
  <r>
    <d v="2026-01-06T00:00:00"/>
    <x v="0"/>
    <x v="1"/>
    <n v="60"/>
  </r>
  <r>
    <d v="2026-01-07T00:00:00"/>
    <x v="0"/>
    <x v="0"/>
    <n v="4000"/>
  </r>
  <r>
    <d v="2026-01-07T00:00:00"/>
    <x v="0"/>
    <x v="1"/>
    <n v="24"/>
  </r>
  <r>
    <d v="2026-01-07T00:00:00"/>
    <x v="0"/>
    <x v="0"/>
    <n v="5500"/>
  </r>
  <r>
    <d v="2026-01-08T00:00:00"/>
    <x v="0"/>
    <x v="1"/>
    <n v="48"/>
  </r>
  <r>
    <d v="2026-01-09T00:00:00"/>
    <x v="0"/>
    <x v="0"/>
    <n v="2500"/>
  </r>
  <r>
    <d v="2026-01-12T00:00:00"/>
    <x v="0"/>
    <x v="2"/>
    <n v="12200"/>
  </r>
  <r>
    <d v="2026-01-12T00:00:00"/>
    <x v="0"/>
    <x v="3"/>
    <n v="5000"/>
  </r>
  <r>
    <d v="2026-01-13T00:00:00"/>
    <x v="0"/>
    <x v="0"/>
    <n v="2000"/>
  </r>
  <r>
    <d v="2026-01-14T00:00:00"/>
    <x v="0"/>
    <x v="1"/>
    <n v="8937.5"/>
  </r>
  <r>
    <d v="2026-01-15T00:00:00"/>
    <x v="0"/>
    <x v="0"/>
    <n v="1900"/>
  </r>
  <r>
    <d v="2026-01-15T00:00:00"/>
    <x v="0"/>
    <x v="4"/>
    <n v="500"/>
  </r>
  <r>
    <d v="2026-01-18T00:00:00"/>
    <x v="0"/>
    <x v="0"/>
    <n v="2000"/>
  </r>
  <r>
    <d v="2026-01-19T00:00:00"/>
    <x v="0"/>
    <x v="2"/>
    <n v="8440"/>
  </r>
  <r>
    <d v="2026-01-19T00:00:00"/>
    <x v="0"/>
    <x v="0"/>
    <n v="2200"/>
  </r>
  <r>
    <d v="2026-01-20T00:00:00"/>
    <x v="0"/>
    <x v="2"/>
    <n v="7700"/>
  </r>
  <r>
    <d v="2026-01-22T00:00:00"/>
    <x v="0"/>
    <x v="0"/>
    <n v="2800"/>
  </r>
  <r>
    <d v="2026-01-26T00:00:00"/>
    <x v="0"/>
    <x v="5"/>
    <n v="700"/>
  </r>
  <r>
    <d v="2026-01-27T00:00:00"/>
    <x v="0"/>
    <x v="0"/>
    <n v="2700"/>
  </r>
  <r>
    <d v="2026-01-30T00:00:00"/>
    <x v="0"/>
    <x v="0"/>
    <n v="1500"/>
  </r>
  <r>
    <d v="2026-02-02T00:00:00"/>
    <x v="1"/>
    <x v="2"/>
    <n v="22550"/>
  </r>
  <r>
    <d v="2026-02-04T00:00:00"/>
    <x v="1"/>
    <x v="2"/>
    <n v="17880"/>
  </r>
  <r>
    <d v="2026-02-04T00:00:00"/>
    <x v="1"/>
    <x v="3"/>
    <n v="5000"/>
  </r>
  <r>
    <d v="2026-02-06T00:00:00"/>
    <x v="1"/>
    <x v="0"/>
    <n v="3000"/>
  </r>
  <r>
    <d v="2026-02-04T00:00:00"/>
    <x v="1"/>
    <x v="1"/>
    <n v="60"/>
  </r>
  <r>
    <d v="2026-02-10T00:00:00"/>
    <x v="1"/>
    <x v="0"/>
    <n v="22000"/>
  </r>
  <r>
    <d v="2026-02-10T00:00:00"/>
    <x v="1"/>
    <x v="5"/>
    <n v="2000"/>
  </r>
  <r>
    <d v="2026-02-19T00:00:00"/>
    <x v="1"/>
    <x v="0"/>
    <n v="1400"/>
  </r>
  <r>
    <d v="2026-02-20T00:00:00"/>
    <x v="1"/>
    <x v="0"/>
    <n v="1800"/>
  </r>
  <r>
    <d v="2026-02-23T00:00:00"/>
    <x v="1"/>
    <x v="1"/>
    <n v="108"/>
  </r>
  <r>
    <d v="2026-02-23T00:00:00"/>
    <x v="1"/>
    <x v="1"/>
    <n v="68"/>
  </r>
  <r>
    <d v="2026-02-24T00:00:00"/>
    <x v="1"/>
    <x v="0"/>
    <n v="3250"/>
  </r>
  <r>
    <d v="2026-02-24T00:00:00"/>
    <x v="1"/>
    <x v="1"/>
    <n v="55"/>
  </r>
  <r>
    <d v="2026-02-25T00:00:00"/>
    <x v="1"/>
    <x v="3"/>
    <n v="5200"/>
  </r>
  <r>
    <d v="2026-02-25T00:00:00"/>
    <x v="1"/>
    <x v="0"/>
    <n v="3200"/>
  </r>
  <r>
    <d v="2026-02-26T00:00:00"/>
    <x v="1"/>
    <x v="2"/>
    <n v="9710"/>
  </r>
  <r>
    <d v="2026-02-26T00:00:00"/>
    <x v="1"/>
    <x v="0"/>
    <n v="2000"/>
  </r>
  <r>
    <d v="2026-02-27T00:00:00"/>
    <x v="1"/>
    <x v="0"/>
    <n v="6000"/>
  </r>
  <r>
    <d v="2026-03-02T00:00:00"/>
    <x v="2"/>
    <x v="0"/>
    <n v="2475"/>
  </r>
  <r>
    <d v="2026-03-03T00:00:00"/>
    <x v="2"/>
    <x v="0"/>
    <n v="2750"/>
  </r>
  <r>
    <d v="2026-03-04T00:00:00"/>
    <x v="2"/>
    <x v="0"/>
    <n v="3375"/>
  </r>
  <r>
    <d v="2026-03-05T00:00:00"/>
    <x v="2"/>
    <x v="0"/>
    <n v="3375"/>
  </r>
  <r>
    <d v="2026-03-06T00:00:00"/>
    <x v="2"/>
    <x v="2"/>
    <n v="15112"/>
  </r>
  <r>
    <d v="2026-03-09T00:00:00"/>
    <x v="2"/>
    <x v="0"/>
    <n v="2000"/>
  </r>
  <r>
    <d v="2026-03-12T00:00:00"/>
    <x v="2"/>
    <x v="0"/>
    <n v="2675"/>
  </r>
  <r>
    <d v="2026-03-16T00:00:00"/>
    <x v="2"/>
    <x v="0"/>
    <n v="2000"/>
  </r>
  <r>
    <d v="2026-03-16T00:00:00"/>
    <x v="2"/>
    <x v="1"/>
    <n v="36"/>
  </r>
  <r>
    <d v="2026-03-16T00:00:00"/>
    <x v="2"/>
    <x v="1"/>
    <n v="18"/>
  </r>
  <r>
    <d v="2026-03-18T00:00:00"/>
    <x v="2"/>
    <x v="0"/>
    <n v="2500"/>
  </r>
  <r>
    <d v="2026-03-23T00:00:00"/>
    <x v="2"/>
    <x v="0"/>
    <n v="4250"/>
  </r>
  <r>
    <d v="2026-03-23T00:00:00"/>
    <x v="2"/>
    <x v="0"/>
    <n v="8250"/>
  </r>
  <r>
    <d v="2026-03-24T00:00:00"/>
    <x v="2"/>
    <x v="0"/>
    <n v="3750"/>
  </r>
  <r>
    <d v="2026-03-25T00:00:00"/>
    <x v="2"/>
    <x v="0"/>
    <n v="2000"/>
  </r>
  <r>
    <d v="2026-03-26T00:00:00"/>
    <x v="2"/>
    <x v="4"/>
    <n v="1200"/>
  </r>
  <r>
    <d v="2026-03-27T00:00:00"/>
    <x v="2"/>
    <x v="0"/>
    <n v="2750"/>
  </r>
  <r>
    <d v="2026-03-29T00:00:00"/>
    <x v="2"/>
    <x v="0"/>
    <n v="2000"/>
  </r>
  <r>
    <d v="2026-03-26T00:00:00"/>
    <x v="2"/>
    <x v="2"/>
    <n v="52250"/>
  </r>
  <r>
    <d v="2026-03-30T00:00:00"/>
    <x v="2"/>
    <x v="0"/>
    <n v="2000"/>
  </r>
  <r>
    <d v="2026-04-02T00:00:00"/>
    <x v="3"/>
    <x v="2"/>
    <n v="7000"/>
  </r>
  <r>
    <d v="2026-04-07T00:00:00"/>
    <x v="3"/>
    <x v="1"/>
    <n v="6400"/>
  </r>
  <r>
    <d v="2026-04-10T00:00:00"/>
    <x v="3"/>
    <x v="0"/>
    <n v="3500"/>
  </r>
  <r>
    <d v="2026-04-13T00:00:00"/>
    <x v="3"/>
    <x v="0"/>
    <n v="2500"/>
  </r>
  <r>
    <d v="2026-04-15T00:00:00"/>
    <x v="3"/>
    <x v="0"/>
    <n v="3500"/>
  </r>
  <r>
    <d v="2026-04-17T00:00:00"/>
    <x v="3"/>
    <x v="0"/>
    <n v="2000"/>
  </r>
  <r>
    <d v="2026-04-23T00:00:00"/>
    <x v="3"/>
    <x v="0"/>
    <n v="2000"/>
  </r>
  <r>
    <d v="2026-04-27T00:00:00"/>
    <x v="3"/>
    <x v="0"/>
    <n v="2000"/>
  </r>
  <r>
    <d v="2026-05-07T00:00:00"/>
    <x v="4"/>
    <x v="0"/>
    <n v="4000"/>
  </r>
  <r>
    <d v="2026-05-08T00:00:00"/>
    <x v="4"/>
    <x v="0"/>
    <n v="2000"/>
  </r>
  <r>
    <d v="2026-05-11T00:00:00"/>
    <x v="4"/>
    <x v="0"/>
    <n v="2000"/>
  </r>
  <r>
    <d v="2026-05-15T00:00:00"/>
    <x v="4"/>
    <x v="0"/>
    <n v="2400"/>
  </r>
  <r>
    <d v="2026-05-17T00:00:00"/>
    <x v="4"/>
    <x v="0"/>
    <n v="36"/>
  </r>
  <r>
    <d v="2026-05-18T00:00:00"/>
    <x v="4"/>
    <x v="0"/>
    <n v="2500"/>
  </r>
  <r>
    <d v="2026-05-20T00:00:00"/>
    <x v="4"/>
    <x v="0"/>
    <n v="3000"/>
  </r>
  <r>
    <d v="2026-05-22T00:00:00"/>
    <x v="4"/>
    <x v="0"/>
    <n v="3500"/>
  </r>
  <r>
    <d v="2026-05-27T00:00:00"/>
    <x v="4"/>
    <x v="0"/>
    <n v="3500"/>
  </r>
  <r>
    <d v="2026-05-28T00:00:00"/>
    <x v="4"/>
    <x v="2"/>
    <n v="17994"/>
  </r>
  <r>
    <d v="2026-05-29T00:00:00"/>
    <x v="4"/>
    <x v="0"/>
    <n v="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d v="2026-01-01T00:00:00"/>
    <x v="0"/>
    <x v="0"/>
    <n v="2000"/>
    <n v="2000"/>
  </r>
  <r>
    <d v="2026-01-01T00:00:00"/>
    <x v="0"/>
    <x v="1"/>
    <n v="136.56"/>
    <n v="136.56"/>
  </r>
  <r>
    <d v="2026-01-01T00:00:00"/>
    <x v="0"/>
    <x v="2"/>
    <n v="86.31"/>
    <n v="86.31"/>
  </r>
  <r>
    <d v="2026-01-01T00:00:00"/>
    <x v="0"/>
    <x v="3"/>
    <n v="1000"/>
    <n v="1000"/>
  </r>
  <r>
    <d v="2026-01-05T00:00:00"/>
    <x v="0"/>
    <x v="4"/>
    <n v="1580"/>
    <n v="1580"/>
  </r>
  <r>
    <d v="2026-01-05T00:00:00"/>
    <x v="0"/>
    <x v="5"/>
    <n v="350"/>
    <m/>
  </r>
  <r>
    <d v="2026-01-05T00:00:00"/>
    <x v="0"/>
    <x v="6"/>
    <n v="400"/>
    <n v="400"/>
  </r>
  <r>
    <d v="2026-01-30T00:00:00"/>
    <x v="0"/>
    <x v="7"/>
    <n v="2000"/>
    <n v="2000"/>
  </r>
  <r>
    <d v="2026-01-10T00:00:00"/>
    <x v="0"/>
    <x v="8"/>
    <n v="300"/>
    <n v="251.55"/>
  </r>
  <r>
    <d v="2026-01-10T00:00:00"/>
    <x v="0"/>
    <x v="9"/>
    <n v="153.26"/>
    <n v="153.26"/>
  </r>
  <r>
    <d v="2026-01-10T00:00:00"/>
    <x v="0"/>
    <x v="10"/>
    <n v="941.6"/>
    <n v="941.6"/>
  </r>
  <r>
    <d v="2026-01-15T00:00:00"/>
    <x v="0"/>
    <x v="11"/>
    <n v="644.28"/>
    <n v="400"/>
  </r>
  <r>
    <d v="2026-01-20T00:00:00"/>
    <x v="0"/>
    <x v="12"/>
    <n v="1000"/>
    <n v="1691.83"/>
  </r>
  <r>
    <d v="2026-01-30T00:00:00"/>
    <x v="0"/>
    <x v="13"/>
    <n v="485.76"/>
    <n v="485.76"/>
  </r>
  <r>
    <d v="2026-02-01T00:00:00"/>
    <x v="1"/>
    <x v="0"/>
    <n v="2000"/>
    <n v="2000"/>
  </r>
  <r>
    <d v="2026-02-01T00:00:00"/>
    <x v="1"/>
    <x v="1"/>
    <n v="136.56"/>
    <n v="136.56"/>
  </r>
  <r>
    <d v="2026-02-01T00:00:00"/>
    <x v="1"/>
    <x v="2"/>
    <n v="86.31"/>
    <n v="86.31"/>
  </r>
  <r>
    <d v="2026-02-01T00:00:00"/>
    <x v="1"/>
    <x v="3"/>
    <n v="1000"/>
    <n v="1000"/>
  </r>
  <r>
    <d v="2026-02-05T00:00:00"/>
    <x v="1"/>
    <x v="4"/>
    <n v="1580"/>
    <n v="1580"/>
  </r>
  <r>
    <d v="2026-02-05T00:00:00"/>
    <x v="1"/>
    <x v="5"/>
    <n v="350"/>
    <m/>
  </r>
  <r>
    <d v="2026-02-05T00:00:00"/>
    <x v="1"/>
    <x v="6"/>
    <n v="400"/>
    <n v="400"/>
  </r>
  <r>
    <d v="2026-02-28T00:00:00"/>
    <x v="1"/>
    <x v="7"/>
    <n v="3000"/>
    <n v="3000"/>
  </r>
  <r>
    <d v="2026-02-10T00:00:00"/>
    <x v="1"/>
    <x v="8"/>
    <n v="300"/>
    <n v="223.23"/>
  </r>
  <r>
    <d v="2026-02-10T00:00:00"/>
    <x v="1"/>
    <x v="9"/>
    <n v="153.26"/>
    <n v="153.26"/>
  </r>
  <r>
    <d v="2026-02-10T00:00:00"/>
    <x v="1"/>
    <x v="10"/>
    <n v="941.6"/>
    <n v="941.6"/>
  </r>
  <r>
    <d v="2026-02-15T00:00:00"/>
    <x v="1"/>
    <x v="11"/>
    <n v="644.28"/>
    <n v="644.28"/>
  </r>
  <r>
    <d v="2026-02-20T00:00:00"/>
    <x v="1"/>
    <x v="12"/>
    <n v="1000"/>
    <n v="0"/>
  </r>
  <r>
    <d v="2026-02-28T00:00:00"/>
    <x v="1"/>
    <x v="13"/>
    <n v="485.76"/>
    <n v="496.26"/>
  </r>
  <r>
    <d v="2026-03-01T00:00:00"/>
    <x v="2"/>
    <x v="0"/>
    <n v="2000"/>
    <n v="2000"/>
  </r>
  <r>
    <d v="2026-03-01T00:00:00"/>
    <x v="2"/>
    <x v="1"/>
    <n v="136.56"/>
    <n v="136.56"/>
  </r>
  <r>
    <d v="2026-03-01T00:00:00"/>
    <x v="2"/>
    <x v="2"/>
    <n v="86.31"/>
    <n v="86.31"/>
  </r>
  <r>
    <d v="2026-03-01T00:00:00"/>
    <x v="2"/>
    <x v="3"/>
    <n v="1000"/>
    <n v="1000"/>
  </r>
  <r>
    <d v="2026-03-05T00:00:00"/>
    <x v="2"/>
    <x v="5"/>
    <n v="350"/>
    <m/>
  </r>
  <r>
    <d v="2026-03-05T00:00:00"/>
    <x v="2"/>
    <x v="4"/>
    <n v="1580"/>
    <n v="1580"/>
  </r>
  <r>
    <d v="2026-03-05T00:00:00"/>
    <x v="2"/>
    <x v="6"/>
    <n v="400"/>
    <n v="400"/>
  </r>
  <r>
    <d v="2026-03-30T00:00:00"/>
    <x v="2"/>
    <x v="7"/>
    <n v="3000"/>
    <n v="3000"/>
  </r>
  <r>
    <d v="2026-03-10T00:00:00"/>
    <x v="2"/>
    <x v="8"/>
    <n v="300"/>
    <n v="186.16"/>
  </r>
  <r>
    <d v="2026-03-10T00:00:00"/>
    <x v="2"/>
    <x v="9"/>
    <n v="153.26"/>
    <n v="153.26"/>
  </r>
  <r>
    <d v="2026-03-10T00:00:00"/>
    <x v="2"/>
    <x v="10"/>
    <n v="941.6"/>
    <n v="941.6"/>
  </r>
  <r>
    <d v="2026-03-15T00:00:00"/>
    <x v="2"/>
    <x v="11"/>
    <n v="644.28"/>
    <n v="644.28"/>
  </r>
  <r>
    <d v="2026-03-20T00:00:00"/>
    <x v="2"/>
    <x v="14"/>
    <n v="310.24"/>
    <n v="310.24"/>
  </r>
  <r>
    <d v="2026-03-20T00:00:00"/>
    <x v="2"/>
    <x v="12"/>
    <n v="1000"/>
    <n v="1448"/>
  </r>
  <r>
    <d v="2026-03-30T00:00:00"/>
    <x v="2"/>
    <x v="13"/>
    <n v="485.76"/>
    <m/>
  </r>
  <r>
    <d v="2026-04-01T00:00:00"/>
    <x v="3"/>
    <x v="0"/>
    <n v="2000"/>
    <n v="2000"/>
  </r>
  <r>
    <d v="2026-04-01T00:00:00"/>
    <x v="3"/>
    <x v="1"/>
    <n v="136.56"/>
    <n v="136.56"/>
  </r>
  <r>
    <d v="2026-04-01T00:00:00"/>
    <x v="3"/>
    <x v="2"/>
    <n v="86.31"/>
    <n v="86.31"/>
  </r>
  <r>
    <d v="2026-04-01T00:00:00"/>
    <x v="3"/>
    <x v="3"/>
    <n v="1000"/>
    <n v="1000"/>
  </r>
  <r>
    <d v="2026-04-05T00:00:00"/>
    <x v="3"/>
    <x v="5"/>
    <n v="350"/>
    <n v="425.38"/>
  </r>
  <r>
    <d v="2026-04-05T00:00:00"/>
    <x v="3"/>
    <x v="4"/>
    <n v="1580"/>
    <n v="1580"/>
  </r>
  <r>
    <d v="2026-04-05T00:00:00"/>
    <x v="3"/>
    <x v="6"/>
    <n v="400"/>
    <n v="400"/>
  </r>
  <r>
    <d v="2026-04-30T00:00:00"/>
    <x v="3"/>
    <x v="7"/>
    <n v="3000"/>
    <n v="3000"/>
  </r>
  <r>
    <d v="2026-04-10T00:00:00"/>
    <x v="3"/>
    <x v="8"/>
    <n v="300"/>
    <n v="181.06"/>
  </r>
  <r>
    <d v="2026-04-10T00:00:00"/>
    <x v="3"/>
    <x v="9"/>
    <n v="153.26"/>
    <n v="153.26"/>
  </r>
  <r>
    <d v="2026-04-10T00:00:00"/>
    <x v="3"/>
    <x v="10"/>
    <n v="941.6"/>
    <n v="941.6"/>
  </r>
  <r>
    <d v="2026-04-15T00:00:00"/>
    <x v="3"/>
    <x v="11"/>
    <n v="644.28"/>
    <n v="644.28"/>
  </r>
  <r>
    <d v="2026-04-20T00:00:00"/>
    <x v="3"/>
    <x v="14"/>
    <n v="310.24"/>
    <n v="313.37"/>
  </r>
  <r>
    <d v="2026-04-20T00:00:00"/>
    <x v="3"/>
    <x v="12"/>
    <n v="1000"/>
    <n v="2947.28"/>
  </r>
  <r>
    <d v="2026-04-30T00:00:00"/>
    <x v="3"/>
    <x v="13"/>
    <n v="485.76"/>
    <n v="506.99"/>
  </r>
  <r>
    <d v="2026-04-30T00:00:00"/>
    <x v="3"/>
    <x v="15"/>
    <n v="100"/>
    <n v="100"/>
  </r>
  <r>
    <d v="2026-05-01T00:00:00"/>
    <x v="4"/>
    <x v="0"/>
    <n v="2000"/>
    <n v="2000"/>
  </r>
  <r>
    <d v="2026-05-01T00:00:00"/>
    <x v="4"/>
    <x v="1"/>
    <n v="136.56"/>
    <n v="136.56"/>
  </r>
  <r>
    <d v="2026-05-01T00:00:00"/>
    <x v="4"/>
    <x v="2"/>
    <n v="86.31"/>
    <n v="86.31"/>
  </r>
  <r>
    <d v="2026-05-01T00:00:00"/>
    <x v="4"/>
    <x v="3"/>
    <n v="1000"/>
    <n v="1000"/>
  </r>
  <r>
    <d v="2026-05-05T00:00:00"/>
    <x v="4"/>
    <x v="5"/>
    <n v="350"/>
    <m/>
  </r>
  <r>
    <d v="2026-05-05T00:00:00"/>
    <x v="4"/>
    <x v="4"/>
    <n v="1580"/>
    <n v="1580"/>
  </r>
  <r>
    <d v="2026-05-05T00:00:00"/>
    <x v="4"/>
    <x v="6"/>
    <n v="400"/>
    <n v="400"/>
  </r>
  <r>
    <d v="2026-05-30T00:00:00"/>
    <x v="4"/>
    <x v="7"/>
    <n v="3000"/>
    <n v="3000"/>
  </r>
  <r>
    <d v="2026-05-10T00:00:00"/>
    <x v="4"/>
    <x v="8"/>
    <n v="300"/>
    <n v="173.82"/>
  </r>
  <r>
    <d v="2026-05-10T00:00:00"/>
    <x v="4"/>
    <x v="9"/>
    <n v="153.26"/>
    <n v="153.26"/>
  </r>
  <r>
    <d v="2026-05-10T00:00:00"/>
    <x v="4"/>
    <x v="10"/>
    <n v="941.6"/>
    <n v="941.6"/>
  </r>
  <r>
    <d v="2026-05-15T00:00:00"/>
    <x v="4"/>
    <x v="11"/>
    <n v="644.28"/>
    <n v="644.28"/>
  </r>
  <r>
    <d v="2026-05-20T00:00:00"/>
    <x v="4"/>
    <x v="14"/>
    <n v="310.24"/>
    <m/>
  </r>
  <r>
    <d v="2026-05-20T00:00:00"/>
    <x v="4"/>
    <x v="12"/>
    <n v="1000"/>
    <n v="432.96"/>
  </r>
  <r>
    <d v="2026-05-30T00:00:00"/>
    <x v="4"/>
    <x v="13"/>
    <n v="485.76"/>
    <n v="512.29"/>
  </r>
  <r>
    <d v="2026-05-30T00:00:00"/>
    <x v="4"/>
    <x v="15"/>
    <n v="100"/>
    <m/>
  </r>
  <r>
    <d v="2026-06-01T00:00:00"/>
    <x v="5"/>
    <x v="0"/>
    <n v="2000"/>
    <n v="2000"/>
  </r>
  <r>
    <d v="2026-06-01T00:00:00"/>
    <x v="5"/>
    <x v="1"/>
    <n v="136.56"/>
    <n v="136.56"/>
  </r>
  <r>
    <d v="2026-06-01T00:00:00"/>
    <x v="5"/>
    <x v="2"/>
    <n v="86.31"/>
    <n v="86.31"/>
  </r>
  <r>
    <d v="2026-06-01T00:00:00"/>
    <x v="5"/>
    <x v="3"/>
    <n v="1000"/>
    <m/>
  </r>
  <r>
    <d v="2026-06-05T00:00:00"/>
    <x v="5"/>
    <x v="5"/>
    <n v="350"/>
    <m/>
  </r>
  <r>
    <d v="2026-06-05T00:00:00"/>
    <x v="5"/>
    <x v="4"/>
    <n v="1580"/>
    <n v="1580"/>
  </r>
  <r>
    <d v="2026-06-05T00:00:00"/>
    <x v="5"/>
    <x v="6"/>
    <n v="400"/>
    <n v="500"/>
  </r>
  <r>
    <d v="2026-06-30T00:00:00"/>
    <x v="5"/>
    <x v="7"/>
    <n v="3000"/>
    <m/>
  </r>
  <r>
    <d v="2026-06-10T00:00:00"/>
    <x v="5"/>
    <x v="8"/>
    <n v="300"/>
    <n v="136.75"/>
  </r>
  <r>
    <d v="2026-06-10T00:00:00"/>
    <x v="5"/>
    <x v="9"/>
    <n v="153.26"/>
    <n v="153.26"/>
  </r>
  <r>
    <d v="2026-06-10T00:00:00"/>
    <x v="5"/>
    <x v="10"/>
    <n v="941.6"/>
    <m/>
  </r>
  <r>
    <d v="2026-06-15T00:00:00"/>
    <x v="5"/>
    <x v="11"/>
    <n v="644.28"/>
    <m/>
  </r>
  <r>
    <d v="2026-06-20T00:00:00"/>
    <x v="5"/>
    <x v="14"/>
    <n v="310.24"/>
    <m/>
  </r>
  <r>
    <d v="2026-06-20T00:00:00"/>
    <x v="5"/>
    <x v="12"/>
    <n v="1000"/>
    <m/>
  </r>
  <r>
    <d v="2026-06-30T00:00:00"/>
    <x v="5"/>
    <x v="13"/>
    <n v="485.76"/>
    <m/>
  </r>
  <r>
    <d v="2026-06-30T00:00:00"/>
    <x v="5"/>
    <x v="15"/>
    <n v="100"/>
    <m/>
  </r>
  <r>
    <d v="2026-07-01T00:00:00"/>
    <x v="6"/>
    <x v="0"/>
    <n v="2000"/>
    <m/>
  </r>
  <r>
    <d v="2026-07-01T00:00:00"/>
    <x v="6"/>
    <x v="1"/>
    <n v="136.56"/>
    <m/>
  </r>
  <r>
    <d v="2026-07-01T00:00:00"/>
    <x v="6"/>
    <x v="2"/>
    <n v="86.31"/>
    <m/>
  </r>
  <r>
    <d v="2026-07-01T00:00:00"/>
    <x v="6"/>
    <x v="3"/>
    <n v="1000"/>
    <m/>
  </r>
  <r>
    <d v="2026-07-05T00:00:00"/>
    <x v="6"/>
    <x v="5"/>
    <n v="350"/>
    <m/>
  </r>
  <r>
    <d v="2026-07-05T00:00:00"/>
    <x v="6"/>
    <x v="4"/>
    <n v="1580"/>
    <m/>
  </r>
  <r>
    <d v="2026-07-05T00:00:00"/>
    <x v="6"/>
    <x v="6"/>
    <n v="400"/>
    <m/>
  </r>
  <r>
    <d v="2026-07-30T00:00:00"/>
    <x v="6"/>
    <x v="7"/>
    <n v="3000"/>
    <m/>
  </r>
  <r>
    <d v="2026-07-10T00:00:00"/>
    <x v="6"/>
    <x v="8"/>
    <n v="300"/>
    <m/>
  </r>
  <r>
    <d v="2026-07-10T00:00:00"/>
    <x v="6"/>
    <x v="9"/>
    <n v="153.26"/>
    <m/>
  </r>
  <r>
    <d v="2026-07-10T00:00:00"/>
    <x v="6"/>
    <x v="10"/>
    <n v="941.6"/>
    <m/>
  </r>
  <r>
    <d v="2026-07-15T00:00:00"/>
    <x v="6"/>
    <x v="11"/>
    <n v="644.28"/>
    <m/>
  </r>
  <r>
    <d v="2026-07-20T00:00:00"/>
    <x v="6"/>
    <x v="14"/>
    <n v="310.24"/>
    <m/>
  </r>
  <r>
    <d v="2026-07-20T00:00:00"/>
    <x v="6"/>
    <x v="12"/>
    <n v="1000"/>
    <m/>
  </r>
  <r>
    <d v="2026-07-30T00:00:00"/>
    <x v="6"/>
    <x v="13"/>
    <n v="485.76"/>
    <m/>
  </r>
  <r>
    <d v="2026-07-30T00:00:00"/>
    <x v="6"/>
    <x v="15"/>
    <n v="100"/>
    <m/>
  </r>
  <r>
    <d v="2026-08-01T00:00:00"/>
    <x v="7"/>
    <x v="0"/>
    <n v="2000"/>
    <m/>
  </r>
  <r>
    <d v="2026-08-01T00:00:00"/>
    <x v="7"/>
    <x v="1"/>
    <n v="136.56"/>
    <m/>
  </r>
  <r>
    <d v="2026-08-01T00:00:00"/>
    <x v="7"/>
    <x v="2"/>
    <n v="86.31"/>
    <m/>
  </r>
  <r>
    <d v="2026-08-01T00:00:00"/>
    <x v="7"/>
    <x v="3"/>
    <n v="1000"/>
    <m/>
  </r>
  <r>
    <d v="2026-08-05T00:00:00"/>
    <x v="7"/>
    <x v="5"/>
    <n v="350"/>
    <m/>
  </r>
  <r>
    <d v="2026-08-05T00:00:00"/>
    <x v="7"/>
    <x v="4"/>
    <n v="1580"/>
    <m/>
  </r>
  <r>
    <d v="2026-08-05T00:00:00"/>
    <x v="7"/>
    <x v="6"/>
    <n v="400"/>
    <m/>
  </r>
  <r>
    <d v="2026-08-30T00:00:00"/>
    <x v="7"/>
    <x v="7"/>
    <n v="3000"/>
    <m/>
  </r>
  <r>
    <d v="2026-08-10T00:00:00"/>
    <x v="7"/>
    <x v="8"/>
    <n v="300"/>
    <m/>
  </r>
  <r>
    <d v="2026-08-10T00:00:00"/>
    <x v="7"/>
    <x v="9"/>
    <n v="153.26"/>
    <m/>
  </r>
  <r>
    <d v="2026-08-10T00:00:00"/>
    <x v="7"/>
    <x v="10"/>
    <n v="941.6"/>
    <m/>
  </r>
  <r>
    <d v="2026-08-15T00:00:00"/>
    <x v="7"/>
    <x v="11"/>
    <n v="644.28"/>
    <m/>
  </r>
  <r>
    <d v="2026-08-20T00:00:00"/>
    <x v="7"/>
    <x v="14"/>
    <n v="310.24"/>
    <m/>
  </r>
  <r>
    <d v="2026-08-20T00:00:00"/>
    <x v="7"/>
    <x v="12"/>
    <n v="1000"/>
    <m/>
  </r>
  <r>
    <d v="2026-08-30T00:00:00"/>
    <x v="7"/>
    <x v="13"/>
    <n v="485.76"/>
    <m/>
  </r>
  <r>
    <d v="2026-08-30T00:00:00"/>
    <x v="7"/>
    <x v="15"/>
    <n v="100"/>
    <m/>
  </r>
  <r>
    <d v="2026-09-01T00:00:00"/>
    <x v="8"/>
    <x v="0"/>
    <n v="2000"/>
    <m/>
  </r>
  <r>
    <d v="2026-09-01T00:00:00"/>
    <x v="8"/>
    <x v="1"/>
    <n v="136.56"/>
    <m/>
  </r>
  <r>
    <d v="2026-09-01T00:00:00"/>
    <x v="8"/>
    <x v="2"/>
    <n v="86.31"/>
    <m/>
  </r>
  <r>
    <d v="2026-09-01T00:00:00"/>
    <x v="8"/>
    <x v="3"/>
    <n v="1000"/>
    <m/>
  </r>
  <r>
    <d v="2026-09-05T00:00:00"/>
    <x v="8"/>
    <x v="5"/>
    <n v="350"/>
    <m/>
  </r>
  <r>
    <d v="2026-09-05T00:00:00"/>
    <x v="8"/>
    <x v="4"/>
    <n v="1580"/>
    <m/>
  </r>
  <r>
    <d v="2026-09-05T00:00:00"/>
    <x v="8"/>
    <x v="6"/>
    <n v="400"/>
    <m/>
  </r>
  <r>
    <d v="2026-09-30T00:00:00"/>
    <x v="8"/>
    <x v="7"/>
    <n v="3000"/>
    <m/>
  </r>
  <r>
    <d v="2026-09-10T00:00:00"/>
    <x v="8"/>
    <x v="8"/>
    <n v="300"/>
    <m/>
  </r>
  <r>
    <d v="2026-09-10T00:00:00"/>
    <x v="8"/>
    <x v="9"/>
    <n v="153.26"/>
    <m/>
  </r>
  <r>
    <d v="2026-09-10T00:00:00"/>
    <x v="8"/>
    <x v="10"/>
    <n v="941.6"/>
    <m/>
  </r>
  <r>
    <d v="2026-09-15T00:00:00"/>
    <x v="8"/>
    <x v="11"/>
    <n v="644.28"/>
    <m/>
  </r>
  <r>
    <d v="2026-09-20T00:00:00"/>
    <x v="8"/>
    <x v="14"/>
    <n v="310.24"/>
    <m/>
  </r>
  <r>
    <d v="2026-09-20T00:00:00"/>
    <x v="8"/>
    <x v="12"/>
    <n v="1000"/>
    <m/>
  </r>
  <r>
    <d v="2026-09-30T00:00:00"/>
    <x v="8"/>
    <x v="13"/>
    <n v="485.76"/>
    <m/>
  </r>
  <r>
    <d v="2026-09-30T00:00:00"/>
    <x v="8"/>
    <x v="15"/>
    <n v="100"/>
    <m/>
  </r>
  <r>
    <d v="2026-10-01T00:00:00"/>
    <x v="9"/>
    <x v="0"/>
    <n v="2000"/>
    <m/>
  </r>
  <r>
    <d v="2026-10-01T00:00:00"/>
    <x v="9"/>
    <x v="1"/>
    <n v="136.56"/>
    <m/>
  </r>
  <r>
    <d v="2026-10-01T00:00:00"/>
    <x v="9"/>
    <x v="2"/>
    <n v="86.31"/>
    <m/>
  </r>
  <r>
    <d v="2026-10-01T00:00:00"/>
    <x v="9"/>
    <x v="3"/>
    <n v="1000"/>
    <m/>
  </r>
  <r>
    <d v="2026-10-05T00:00:00"/>
    <x v="9"/>
    <x v="5"/>
    <n v="350"/>
    <m/>
  </r>
  <r>
    <d v="2026-10-05T00:00:00"/>
    <x v="9"/>
    <x v="4"/>
    <n v="1580"/>
    <m/>
  </r>
  <r>
    <d v="2026-10-05T00:00:00"/>
    <x v="9"/>
    <x v="6"/>
    <n v="400"/>
    <m/>
  </r>
  <r>
    <d v="2026-10-30T00:00:00"/>
    <x v="9"/>
    <x v="7"/>
    <n v="3000"/>
    <m/>
  </r>
  <r>
    <d v="2026-10-10T00:00:00"/>
    <x v="9"/>
    <x v="8"/>
    <n v="300"/>
    <m/>
  </r>
  <r>
    <d v="2026-10-10T00:00:00"/>
    <x v="9"/>
    <x v="9"/>
    <n v="153.26"/>
    <m/>
  </r>
  <r>
    <d v="2026-10-10T00:00:00"/>
    <x v="9"/>
    <x v="10"/>
    <n v="941.6"/>
    <m/>
  </r>
  <r>
    <d v="2026-10-15T00:00:00"/>
    <x v="9"/>
    <x v="11"/>
    <n v="644.28"/>
    <m/>
  </r>
  <r>
    <d v="2026-10-20T00:00:00"/>
    <x v="9"/>
    <x v="14"/>
    <n v="310.24"/>
    <m/>
  </r>
  <r>
    <d v="2026-10-20T00:00:00"/>
    <x v="9"/>
    <x v="12"/>
    <n v="1000"/>
    <m/>
  </r>
  <r>
    <d v="2026-10-30T00:00:00"/>
    <x v="9"/>
    <x v="13"/>
    <n v="485.76"/>
    <m/>
  </r>
  <r>
    <d v="2026-10-30T00:00:00"/>
    <x v="9"/>
    <x v="15"/>
    <n v="100"/>
    <m/>
  </r>
  <r>
    <d v="2026-11-01T00:00:00"/>
    <x v="10"/>
    <x v="0"/>
    <n v="2000"/>
    <m/>
  </r>
  <r>
    <d v="2026-11-01T00:00:00"/>
    <x v="10"/>
    <x v="1"/>
    <n v="136.56"/>
    <m/>
  </r>
  <r>
    <d v="2026-11-01T00:00:00"/>
    <x v="10"/>
    <x v="2"/>
    <n v="86.31"/>
    <m/>
  </r>
  <r>
    <d v="2026-11-01T00:00:00"/>
    <x v="10"/>
    <x v="3"/>
    <n v="1000"/>
    <m/>
  </r>
  <r>
    <d v="2026-11-05T00:00:00"/>
    <x v="10"/>
    <x v="5"/>
    <n v="350"/>
    <m/>
  </r>
  <r>
    <d v="2026-11-05T00:00:00"/>
    <x v="10"/>
    <x v="4"/>
    <n v="1580"/>
    <m/>
  </r>
  <r>
    <d v="2026-11-05T00:00:00"/>
    <x v="10"/>
    <x v="6"/>
    <n v="400"/>
    <m/>
  </r>
  <r>
    <d v="2026-11-30T00:00:00"/>
    <x v="10"/>
    <x v="7"/>
    <n v="3000"/>
    <m/>
  </r>
  <r>
    <d v="2026-11-10T00:00:00"/>
    <x v="10"/>
    <x v="8"/>
    <n v="300"/>
    <m/>
  </r>
  <r>
    <d v="2026-11-10T00:00:00"/>
    <x v="10"/>
    <x v="9"/>
    <n v="153.26"/>
    <m/>
  </r>
  <r>
    <d v="2026-11-10T00:00:00"/>
    <x v="10"/>
    <x v="10"/>
    <n v="941.6"/>
    <m/>
  </r>
  <r>
    <d v="2026-11-15T00:00:00"/>
    <x v="10"/>
    <x v="11"/>
    <n v="644.28"/>
    <m/>
  </r>
  <r>
    <d v="2026-11-20T00:00:00"/>
    <x v="10"/>
    <x v="14"/>
    <n v="310.24"/>
    <m/>
  </r>
  <r>
    <d v="2026-11-20T00:00:00"/>
    <x v="10"/>
    <x v="12"/>
    <n v="1000"/>
    <m/>
  </r>
  <r>
    <d v="2026-11-30T00:00:00"/>
    <x v="10"/>
    <x v="13"/>
    <n v="485.76"/>
    <m/>
  </r>
  <r>
    <d v="2026-11-30T00:00:00"/>
    <x v="10"/>
    <x v="15"/>
    <n v="100"/>
    <m/>
  </r>
  <r>
    <d v="2026-12-01T00:00:00"/>
    <x v="11"/>
    <x v="0"/>
    <n v="2000"/>
    <m/>
  </r>
  <r>
    <d v="2026-12-01T00:00:00"/>
    <x v="11"/>
    <x v="1"/>
    <n v="136.56"/>
    <m/>
  </r>
  <r>
    <d v="2026-12-01T00:00:00"/>
    <x v="11"/>
    <x v="2"/>
    <n v="86.31"/>
    <m/>
  </r>
  <r>
    <d v="2026-12-01T00:00:00"/>
    <x v="11"/>
    <x v="3"/>
    <n v="1000"/>
    <m/>
  </r>
  <r>
    <d v="2026-12-05T00:00:00"/>
    <x v="11"/>
    <x v="5"/>
    <n v="350"/>
    <m/>
  </r>
  <r>
    <d v="2026-12-05T00:00:00"/>
    <x v="11"/>
    <x v="4"/>
    <n v="1580"/>
    <m/>
  </r>
  <r>
    <d v="2026-12-05T00:00:00"/>
    <x v="11"/>
    <x v="6"/>
    <n v="400"/>
    <m/>
  </r>
  <r>
    <d v="2026-12-30T00:00:00"/>
    <x v="11"/>
    <x v="7"/>
    <n v="3000"/>
    <m/>
  </r>
  <r>
    <d v="2026-12-10T00:00:00"/>
    <x v="11"/>
    <x v="8"/>
    <n v="300"/>
    <m/>
  </r>
  <r>
    <d v="2026-12-10T00:00:00"/>
    <x v="11"/>
    <x v="9"/>
    <n v="153.26"/>
    <m/>
  </r>
  <r>
    <d v="2026-12-10T00:00:00"/>
    <x v="11"/>
    <x v="10"/>
    <n v="941.6"/>
    <m/>
  </r>
  <r>
    <d v="2026-12-15T00:00:00"/>
    <x v="11"/>
    <x v="11"/>
    <n v="644.28"/>
    <m/>
  </r>
  <r>
    <d v="2026-12-20T00:00:00"/>
    <x v="11"/>
    <x v="14"/>
    <n v="310.24"/>
    <m/>
  </r>
  <r>
    <d v="2026-12-20T00:00:00"/>
    <x v="11"/>
    <x v="12"/>
    <n v="1000"/>
    <m/>
  </r>
  <r>
    <d v="2026-12-30T00:00:00"/>
    <x v="11"/>
    <x v="13"/>
    <n v="485.76"/>
    <m/>
  </r>
  <r>
    <d v="2026-12-30T00:00:00"/>
    <x v="11"/>
    <x v="15"/>
    <n v="100"/>
    <m/>
  </r>
  <r>
    <d v="2026-01-30T00:00:00"/>
    <x v="0"/>
    <x v="16"/>
    <n v="15600"/>
    <n v="15600"/>
  </r>
  <r>
    <d v="2026-02-28T00:00:00"/>
    <x v="1"/>
    <x v="16"/>
    <n v="17000"/>
    <n v="17000"/>
  </r>
  <r>
    <d v="2026-03-30T00:00:00"/>
    <x v="2"/>
    <x v="16"/>
    <n v="17000"/>
    <m/>
  </r>
  <r>
    <d v="2026-04-30T00:00:00"/>
    <x v="3"/>
    <x v="16"/>
    <n v="17000"/>
    <m/>
  </r>
  <r>
    <d v="2026-05-30T00:00:00"/>
    <x v="4"/>
    <x v="16"/>
    <n v="8910"/>
    <n v="8910"/>
  </r>
  <r>
    <d v="2026-06-30T00:00:00"/>
    <x v="5"/>
    <x v="16"/>
    <n v="17000"/>
    <m/>
  </r>
  <r>
    <d v="2026-07-30T00:00:00"/>
    <x v="6"/>
    <x v="16"/>
    <n v="17000"/>
    <m/>
  </r>
  <r>
    <d v="2026-08-30T00:00:00"/>
    <x v="7"/>
    <x v="16"/>
    <n v="17000"/>
    <m/>
  </r>
  <r>
    <d v="2026-09-30T00:00:00"/>
    <x v="8"/>
    <x v="16"/>
    <n v="17000"/>
    <m/>
  </r>
  <r>
    <d v="2026-10-30T00:00:00"/>
    <x v="9"/>
    <x v="16"/>
    <n v="17000"/>
    <m/>
  </r>
  <r>
    <d v="2026-11-30T00:00:00"/>
    <x v="10"/>
    <x v="16"/>
    <n v="17000"/>
    <m/>
  </r>
  <r>
    <d v="2026-12-30T00:00:00"/>
    <x v="11"/>
    <x v="16"/>
    <n v="17000"/>
    <m/>
  </r>
  <r>
    <d v="2026-01-30T00:00:00"/>
    <x v="0"/>
    <x v="17"/>
    <n v="1720"/>
    <n v="1720"/>
  </r>
  <r>
    <d v="2026-02-28T00:00:00"/>
    <x v="1"/>
    <x v="17"/>
    <n v="1870"/>
    <n v="1870"/>
  </r>
  <r>
    <d v="2026-03-30T00:00:00"/>
    <x v="2"/>
    <x v="17"/>
    <n v="2000"/>
    <m/>
  </r>
  <r>
    <d v="2026-04-30T00:00:00"/>
    <x v="3"/>
    <x v="17"/>
    <n v="2000"/>
    <m/>
  </r>
  <r>
    <d v="2026-05-30T00:00:00"/>
    <x v="4"/>
    <x v="17"/>
    <n v="1265"/>
    <n v="1265"/>
  </r>
  <r>
    <d v="2026-06-30T00:00:00"/>
    <x v="5"/>
    <x v="17"/>
    <n v="2000"/>
    <m/>
  </r>
  <r>
    <d v="2026-07-30T00:00:00"/>
    <x v="6"/>
    <x v="17"/>
    <n v="2000"/>
    <m/>
  </r>
  <r>
    <d v="2026-08-30T00:00:00"/>
    <x v="7"/>
    <x v="17"/>
    <n v="2000"/>
    <m/>
  </r>
  <r>
    <d v="2026-09-30T00:00:00"/>
    <x v="8"/>
    <x v="17"/>
    <n v="2000"/>
    <m/>
  </r>
  <r>
    <d v="2026-10-30T00:00:00"/>
    <x v="9"/>
    <x v="17"/>
    <n v="2000"/>
    <m/>
  </r>
  <r>
    <d v="2026-11-30T00:00:00"/>
    <x v="10"/>
    <x v="17"/>
    <n v="2000"/>
    <m/>
  </r>
  <r>
    <d v="2026-12-30T00:00:00"/>
    <x v="11"/>
    <x v="17"/>
    <n v="2000"/>
    <m/>
  </r>
  <r>
    <d v="2026-01-30T00:00:00"/>
    <x v="0"/>
    <x v="18"/>
    <m/>
    <n v="18550"/>
  </r>
  <r>
    <d v="2026-02-28T00:00:00"/>
    <x v="1"/>
    <x v="18"/>
    <m/>
    <n v="23100"/>
  </r>
  <r>
    <d v="2026-03-30T00:00:00"/>
    <x v="2"/>
    <x v="18"/>
    <m/>
    <m/>
  </r>
  <r>
    <d v="2026-04-30T00:00:00"/>
    <x v="3"/>
    <x v="18"/>
    <m/>
    <m/>
  </r>
  <r>
    <d v="2026-05-30T00:00:00"/>
    <x v="4"/>
    <x v="18"/>
    <m/>
    <n v="450"/>
  </r>
  <r>
    <d v="2026-06-30T00:00:00"/>
    <x v="5"/>
    <x v="18"/>
    <m/>
    <n v="8680"/>
  </r>
  <r>
    <d v="2026-07-30T00:00:00"/>
    <x v="6"/>
    <x v="18"/>
    <m/>
    <m/>
  </r>
  <r>
    <d v="2026-08-30T00:00:00"/>
    <x v="7"/>
    <x v="18"/>
    <m/>
    <m/>
  </r>
  <r>
    <d v="2026-09-30T00:00:00"/>
    <x v="8"/>
    <x v="18"/>
    <m/>
    <m/>
  </r>
  <r>
    <d v="2026-10-30T00:00:00"/>
    <x v="9"/>
    <x v="18"/>
    <m/>
    <m/>
  </r>
  <r>
    <d v="2026-11-30T00:00:00"/>
    <x v="10"/>
    <x v="18"/>
    <m/>
    <m/>
  </r>
  <r>
    <d v="2026-12-30T00:00:00"/>
    <x v="11"/>
    <x v="1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F76E4-59C6-430F-ABA9-143E43C62124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Quantidade" colHeaderCaption=" ">
  <location ref="A13:G21" firstHeaderRow="1" firstDataRow="2" firstDataCol="1"/>
  <pivotFields count="4">
    <pivotField numFmtId="14" showAll="0"/>
    <pivotField axis="axisCol" showAll="0">
      <items count="6">
        <item n="Janeiro" x="0"/>
        <item n="Fevereiro" x="1"/>
        <item n="Março" x="2"/>
        <item n="Abril" x="3"/>
        <item n="Maio" x="4"/>
        <item t="default"/>
      </items>
    </pivotField>
    <pivotField axis="axisRow" showAll="0">
      <items count="7">
        <item x="1"/>
        <item x="4"/>
        <item x="2"/>
        <item x="0"/>
        <item x="3"/>
        <item x="5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DBR Mudanças 2026" fld="3" subtotal="count" baseField="0" baseItem="0"/>
  </dataFields>
  <formats count="15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Col="1" outline="0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collapsedLevelsAreSubtotals="1" fieldPosition="0">
        <references count="1">
          <reference field="2" count="0"/>
        </references>
      </pivotArea>
    </format>
    <format dxfId="26">
      <pivotArea grandRow="1" outline="0" collapsedLevelsAreSubtotals="1" fieldPosition="0"/>
    </format>
    <format dxfId="25">
      <pivotArea grandRow="1" outline="0" collapsedLevelsAreSubtotals="1" fieldPosition="0"/>
    </format>
    <format dxfId="24">
      <pivotArea collapsedLevelsAreSubtotals="1" fieldPosition="0">
        <references count="1">
          <reference field="2" count="0"/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27F09-CF46-467B-9018-B4B735FB24A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FATURAMENTO" colHeaderCaption=" ">
  <location ref="A3:G11" firstHeaderRow="1" firstDataRow="2" firstDataCol="1"/>
  <pivotFields count="4">
    <pivotField numFmtId="14" showAll="0"/>
    <pivotField axis="axisCol" showAll="0">
      <items count="6">
        <item n="Janeiro" x="0"/>
        <item n="Fevereiro" x="1"/>
        <item n="Março" x="2"/>
        <item n="Abril" x="3"/>
        <item n="Maio" x="4"/>
        <item t="default"/>
      </items>
    </pivotField>
    <pivotField axis="axisRow" showAll="0">
      <items count="7">
        <item x="1"/>
        <item x="4"/>
        <item x="2"/>
        <item x="0"/>
        <item x="3"/>
        <item x="5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DBR MUDANÇAS 2026" fld="3" baseField="0" baseItem="0" numFmtId="43"/>
  </dataFields>
  <formats count="11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Col="1" outline="0" fieldPosition="0"/>
    </format>
    <format dxfId="39">
      <pivotArea dataOnly="0" labelOnly="1" fieldPosition="0">
        <references count="1">
          <reference field="1" count="0"/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54FF0-754D-4F27-99EE-1B44F5386BFE}" name="Tabela dinâmica6" cacheId="1" applyNumberFormats="0" applyBorderFormats="0" applyFontFormats="0" applyPatternFormats="0" applyAlignmentFormats="0" applyWidthHeightFormats="1" dataCaption="Valores" grandTotalCaption="TOTAL GERAL " updatedVersion="8" minRefreshableVersion="3" useAutoFormatting="1" itemPrintTitles="1" createdVersion="8" indent="0" outline="1" outlineData="1" multipleFieldFilters="0" rowHeaderCaption="Contas a Pagar " colHeaderCaption=" ">
  <location ref="A19:N40" firstHeaderRow="1" firstDataRow="2" firstDataCol="1"/>
  <pivotFields count="5">
    <pivotField showAll="0"/>
    <pivotField axis="axisCol" showAll="0">
      <items count="13">
        <item n="JANEIRO " x="0"/>
        <item n="FEVEREIRO " x="1"/>
        <item n="MARÇO " x="2"/>
        <item n="ABRIL " x="3"/>
        <item n="MAIO " x="4"/>
        <item n="JUNHO " x="5"/>
        <item n="JULHO " x="6"/>
        <item n="AGOSTO " x="7"/>
        <item n="SETEMBRO " x="8"/>
        <item n="OUTUBRO " x="9"/>
        <item n="NOVEMBRO " x="10"/>
        <item n="DEZEMBRO " x="11"/>
        <item t="default"/>
      </items>
    </pivotField>
    <pivotField axis="axisRow" showAll="0" sortType="ascending">
      <items count="20">
        <item x="7"/>
        <item x="1"/>
        <item x="17"/>
        <item x="0"/>
        <item x="9"/>
        <item x="6"/>
        <item x="12"/>
        <item x="16"/>
        <item x="14"/>
        <item x="13"/>
        <item x="10"/>
        <item x="8"/>
        <item x="18"/>
        <item x="2"/>
        <item x="4"/>
        <item x="5"/>
        <item x="11"/>
        <item x="15"/>
        <item x="3"/>
        <item t="default"/>
      </items>
    </pivotField>
    <pivotField showAll="0"/>
    <pivotField dataField="1"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REALIZADO " fld="4" baseField="0" baseItem="0"/>
  </dataFields>
  <formats count="18"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grandRow="1" outline="0" collapsedLevelsAreSubtotals="1" fieldPosition="0"/>
    </format>
    <format dxfId="14">
      <pivotArea type="origin" dataOnly="0" labelOnly="1" outline="0" fieldPosition="0"/>
    </format>
    <format dxfId="13">
      <pivotArea grandCol="1" outline="0" collapsedLevelsAreSubtotals="1" fieldPosition="0"/>
    </format>
    <format dxfId="12">
      <pivotArea collapsedLevelsAreSubtotals="1" fieldPosition="0">
        <references count="2">
          <reference field="1" count="1" selected="0">
            <x v="0"/>
          </reference>
          <reference field="2" count="0"/>
        </references>
      </pivotArea>
    </format>
    <format dxfId="11">
      <pivotArea collapsedLevelsAreSubtotals="1" fieldPosition="0">
        <references count="2">
          <reference field="1" count="1" selected="0">
            <x v="0"/>
          </reference>
          <reference field="2" count="0"/>
        </references>
      </pivotArea>
    </format>
    <format dxfId="10">
      <pivotArea field="2" grandCol="1" collapsedLevelsAreSubtotals="1" axis="axisRow" fieldPosition="0">
        <references count="1">
          <reference field="2" count="0"/>
        </references>
      </pivotArea>
    </format>
    <format dxfId="9">
      <pivotArea collapsedLevelsAreSubtotals="1" fieldPosition="0">
        <references count="2">
          <reference field="1" count="0" selected="0"/>
          <reference field="2" count="0"/>
        </references>
      </pivotArea>
    </format>
    <format dxfId="8">
      <pivotArea type="origin" dataOnly="0" labelOnly="1" outline="0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Col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Col="1" outline="0" fieldPosition="0"/>
    </format>
    <format dxfId="1">
      <pivotArea type="origin" dataOnly="0" labelOnly="1" outline="0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9CD1F-CB5C-4229-8440-1DF97932B7F2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ontas a Pagar ">
  <location ref="A3:C16" firstHeaderRow="0" firstDataRow="1" firstDataCol="1"/>
  <pivotFields count="5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 Orçado" fld="3" baseField="0" baseItem="0"/>
    <dataField name="  Realizado" fld="4" baseField="0" baseItem="0"/>
  </dataFields>
  <formats count="5">
    <format dxfId="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grandRow="1" outline="0" collapsedLevelsAreSubtotals="1" fieldPosition="0"/>
    </format>
  </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BD4DD-CE31-4516-808C-3D667402DCD3}" name="Tabela1" displayName="Tabela1" ref="A3:D4" totalsRowShown="0">
  <autoFilter ref="A3:D4" xr:uid="{77EBD4DD-CE31-4516-808C-3D667402DCD3}"/>
  <tableColumns count="4">
    <tableColumn id="1" xr3:uid="{7D01E2ED-3D42-465E-B04B-535667855815}" name="Data" dataDxfId="0"/>
    <tableColumn id="2" xr3:uid="{C666519A-BCC1-4AA4-9594-5FA18A185374}" name="Mês"/>
    <tableColumn id="3" xr3:uid="{76E351EA-1CD6-462D-A110-8B7B0189CE8D}" name="Tipo"/>
    <tableColumn id="4" xr3:uid="{63003F2E-13ED-48FD-823A-4D3C46801AEA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28F864-5CB8-4A56-BFA1-53462D62801C}">
  <we:reference id="wa200006575" version="1.0.0.8" store="pt-BR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A76B-9109-4DF2-9E20-26697336A050}">
  <dimension ref="A1:O114"/>
  <sheetViews>
    <sheetView showGridLines="0" topLeftCell="A89" workbookViewId="0">
      <selection activeCell="C113" sqref="C113"/>
    </sheetView>
  </sheetViews>
  <sheetFormatPr defaultRowHeight="14.4" x14ac:dyDescent="0.3"/>
  <cols>
    <col min="1" max="1" width="10.6640625" style="2" customWidth="1"/>
    <col min="2" max="2" width="15.88671875" style="2" bestFit="1" customWidth="1"/>
    <col min="3" max="3" width="11.44140625" style="3" bestFit="1" customWidth="1"/>
    <col min="4" max="4" width="11.5546875" style="2" bestFit="1" customWidth="1"/>
    <col min="5" max="5" width="11.44140625" style="2" bestFit="1" customWidth="1"/>
    <col min="6" max="6" width="13.33203125" style="3" bestFit="1" customWidth="1"/>
    <col min="7" max="7" width="12.21875" style="11" bestFit="1" customWidth="1"/>
    <col min="8" max="8" width="2.88671875" customWidth="1"/>
    <col min="9" max="9" width="10.6640625" style="2" bestFit="1" customWidth="1"/>
    <col min="10" max="10" width="12.88671875" style="3" bestFit="1" customWidth="1"/>
    <col min="11" max="11" width="11.44140625" style="2" bestFit="1" customWidth="1"/>
    <col min="12" max="12" width="10.5546875" style="2" bestFit="1" customWidth="1"/>
    <col min="13" max="13" width="10.33203125" style="2" bestFit="1" customWidth="1"/>
    <col min="14" max="14" width="11.44140625" style="2" bestFit="1" customWidth="1"/>
    <col min="15" max="15" width="8.88671875" style="2"/>
  </cols>
  <sheetData>
    <row r="1" spans="1:15" ht="21" customHeight="1" x14ac:dyDescent="0.3">
      <c r="A1" s="114" t="s">
        <v>42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1:15" ht="15" thickBot="1" x14ac:dyDescent="0.35"/>
    <row r="3" spans="1:15" ht="16.2" thickTop="1" x14ac:dyDescent="0.3">
      <c r="A3" s="113" t="s">
        <v>26</v>
      </c>
      <c r="B3" s="113"/>
      <c r="C3" s="113"/>
      <c r="D3" s="113"/>
      <c r="E3" s="113"/>
      <c r="F3" s="113"/>
      <c r="G3" s="113"/>
      <c r="H3" s="107"/>
      <c r="I3" s="113" t="s">
        <v>35</v>
      </c>
      <c r="J3" s="113"/>
      <c r="K3" s="113"/>
      <c r="L3" s="113"/>
      <c r="M3" s="113"/>
      <c r="N3" s="113"/>
      <c r="O3" s="113"/>
    </row>
    <row r="4" spans="1:15" x14ac:dyDescent="0.3">
      <c r="A4" s="6" t="s">
        <v>0</v>
      </c>
      <c r="B4" s="6" t="s">
        <v>1</v>
      </c>
      <c r="C4" s="7" t="s">
        <v>4</v>
      </c>
      <c r="D4" s="7" t="s">
        <v>21</v>
      </c>
      <c r="E4" s="7" t="s">
        <v>8</v>
      </c>
      <c r="F4" s="7" t="s">
        <v>16</v>
      </c>
      <c r="G4" s="20" t="s">
        <v>17</v>
      </c>
      <c r="H4" s="108"/>
      <c r="I4" s="6" t="s">
        <v>0</v>
      </c>
      <c r="J4" s="6" t="s">
        <v>1</v>
      </c>
      <c r="K4" s="7" t="s">
        <v>4</v>
      </c>
      <c r="L4" s="7" t="s">
        <v>21</v>
      </c>
      <c r="M4" s="7" t="s">
        <v>8</v>
      </c>
      <c r="N4" s="7" t="s">
        <v>16</v>
      </c>
      <c r="O4" s="7" t="s">
        <v>12</v>
      </c>
    </row>
    <row r="5" spans="1:15" x14ac:dyDescent="0.3">
      <c r="A5" s="28">
        <v>46024</v>
      </c>
      <c r="B5" s="2" t="s">
        <v>3</v>
      </c>
      <c r="C5" s="44">
        <v>2000</v>
      </c>
      <c r="D5" s="9">
        <v>2000</v>
      </c>
      <c r="E5" s="9">
        <f t="shared" ref="E5:E26" si="0">C5-D5</f>
        <v>0</v>
      </c>
      <c r="F5" s="9" t="s">
        <v>76</v>
      </c>
      <c r="G5" s="31"/>
      <c r="H5" s="108"/>
      <c r="I5" s="28">
        <v>45979</v>
      </c>
      <c r="J5" s="2" t="s">
        <v>2</v>
      </c>
      <c r="K5" s="9">
        <v>8760</v>
      </c>
      <c r="L5" s="9">
        <v>7008</v>
      </c>
      <c r="M5" s="13">
        <f>K5-L5</f>
        <v>1752</v>
      </c>
      <c r="N5" s="9" t="s">
        <v>37</v>
      </c>
      <c r="O5" s="9" t="s">
        <v>80</v>
      </c>
    </row>
    <row r="6" spans="1:15" x14ac:dyDescent="0.3">
      <c r="A6" s="28">
        <v>46027</v>
      </c>
      <c r="B6" s="2" t="s">
        <v>3</v>
      </c>
      <c r="C6" s="44">
        <v>3500</v>
      </c>
      <c r="D6" s="9">
        <v>3500</v>
      </c>
      <c r="E6" s="9">
        <f t="shared" si="0"/>
        <v>0</v>
      </c>
      <c r="F6" s="9" t="s">
        <v>77</v>
      </c>
      <c r="G6" s="31"/>
      <c r="H6" s="108"/>
      <c r="I6" s="29">
        <v>45988</v>
      </c>
      <c r="J6" s="23" t="s">
        <v>2</v>
      </c>
      <c r="K6" s="24">
        <v>34240</v>
      </c>
      <c r="L6" s="24">
        <v>27392</v>
      </c>
      <c r="M6" s="26">
        <v>6848</v>
      </c>
      <c r="N6" s="25" t="s">
        <v>13</v>
      </c>
      <c r="O6" s="23"/>
    </row>
    <row r="7" spans="1:15" x14ac:dyDescent="0.3">
      <c r="A7" s="28">
        <v>46028</v>
      </c>
      <c r="B7" s="2" t="s">
        <v>3</v>
      </c>
      <c r="C7" s="44">
        <v>2000</v>
      </c>
      <c r="D7" s="9">
        <v>2000</v>
      </c>
      <c r="E7" s="9">
        <f t="shared" si="0"/>
        <v>0</v>
      </c>
      <c r="F7" s="9" t="s">
        <v>78</v>
      </c>
      <c r="G7" s="10"/>
      <c r="H7" s="108"/>
      <c r="I7" s="29">
        <v>46006</v>
      </c>
      <c r="J7" s="23" t="s">
        <v>2</v>
      </c>
      <c r="K7" s="24">
        <v>10745</v>
      </c>
      <c r="L7" s="24">
        <v>8596</v>
      </c>
      <c r="M7" s="26">
        <f>K7-L7</f>
        <v>2149</v>
      </c>
      <c r="N7" s="25" t="s">
        <v>40</v>
      </c>
      <c r="O7" s="23"/>
    </row>
    <row r="8" spans="1:15" x14ac:dyDescent="0.3">
      <c r="A8" s="28">
        <v>46028</v>
      </c>
      <c r="B8" s="2" t="s">
        <v>88</v>
      </c>
      <c r="C8" s="42">
        <v>60</v>
      </c>
      <c r="D8" s="9">
        <v>60</v>
      </c>
      <c r="E8" s="9">
        <f t="shared" si="0"/>
        <v>0</v>
      </c>
      <c r="F8" s="9" t="s">
        <v>88</v>
      </c>
      <c r="G8" s="10"/>
      <c r="H8" s="108"/>
      <c r="I8" s="29">
        <v>46007</v>
      </c>
      <c r="J8" s="23" t="s">
        <v>2</v>
      </c>
      <c r="K8" s="24">
        <v>10855</v>
      </c>
      <c r="L8" s="24">
        <v>8684</v>
      </c>
      <c r="M8" s="26">
        <f>K8-L8</f>
        <v>2171</v>
      </c>
      <c r="N8" s="24" t="s">
        <v>41</v>
      </c>
      <c r="O8" s="23"/>
    </row>
    <row r="9" spans="1:15" x14ac:dyDescent="0.3">
      <c r="A9" s="28">
        <v>46029</v>
      </c>
      <c r="B9" s="2" t="s">
        <v>3</v>
      </c>
      <c r="C9" s="44">
        <v>4000</v>
      </c>
      <c r="D9" s="9">
        <v>4000</v>
      </c>
      <c r="E9" s="9">
        <f t="shared" si="0"/>
        <v>0</v>
      </c>
      <c r="F9" s="9" t="s">
        <v>44</v>
      </c>
      <c r="G9" s="10"/>
      <c r="H9" s="108"/>
      <c r="I9" s="27">
        <v>46002</v>
      </c>
      <c r="J9" s="15" t="s">
        <v>2</v>
      </c>
      <c r="K9" s="12">
        <v>24800</v>
      </c>
      <c r="L9" s="12">
        <v>20380</v>
      </c>
      <c r="M9" s="37">
        <f>K9-L9</f>
        <v>4420</v>
      </c>
      <c r="N9" s="12" t="s">
        <v>38</v>
      </c>
      <c r="O9" s="15" t="s">
        <v>80</v>
      </c>
    </row>
    <row r="10" spans="1:15" x14ac:dyDescent="0.3">
      <c r="A10" s="27">
        <v>46029</v>
      </c>
      <c r="B10" s="15" t="s">
        <v>87</v>
      </c>
      <c r="C10" s="42">
        <v>24</v>
      </c>
      <c r="D10" s="12">
        <v>24</v>
      </c>
      <c r="E10" s="12">
        <f t="shared" si="0"/>
        <v>0</v>
      </c>
      <c r="F10" s="12" t="s">
        <v>87</v>
      </c>
      <c r="G10" s="35"/>
      <c r="H10" s="108"/>
      <c r="I10" s="29">
        <v>46052</v>
      </c>
      <c r="J10" s="23" t="s">
        <v>2</v>
      </c>
      <c r="K10" s="24"/>
      <c r="L10" s="24"/>
      <c r="M10" s="26">
        <v>320</v>
      </c>
      <c r="N10" s="24" t="s">
        <v>48</v>
      </c>
    </row>
    <row r="11" spans="1:15" x14ac:dyDescent="0.3">
      <c r="A11" s="28">
        <v>46029</v>
      </c>
      <c r="B11" s="2" t="s">
        <v>3</v>
      </c>
      <c r="C11" s="44">
        <v>5500</v>
      </c>
      <c r="D11" s="9">
        <v>5500</v>
      </c>
      <c r="E11" s="9">
        <f t="shared" si="0"/>
        <v>0</v>
      </c>
      <c r="F11" s="9" t="s">
        <v>86</v>
      </c>
      <c r="G11" s="10"/>
      <c r="H11" s="108"/>
      <c r="I11" s="29">
        <v>46013</v>
      </c>
      <c r="J11" s="23" t="s">
        <v>2</v>
      </c>
      <c r="K11" s="24">
        <v>10740</v>
      </c>
      <c r="L11" s="24">
        <v>8592</v>
      </c>
      <c r="M11" s="26">
        <f>K11-L11</f>
        <v>2148</v>
      </c>
      <c r="N11" s="24" t="s">
        <v>79</v>
      </c>
    </row>
    <row r="12" spans="1:15" x14ac:dyDescent="0.3">
      <c r="A12" s="27">
        <v>46030</v>
      </c>
      <c r="B12" s="15" t="s">
        <v>87</v>
      </c>
      <c r="C12" s="42">
        <v>48</v>
      </c>
      <c r="D12" s="12">
        <v>48</v>
      </c>
      <c r="E12" s="12">
        <f t="shared" si="0"/>
        <v>0</v>
      </c>
      <c r="F12" s="12" t="s">
        <v>87</v>
      </c>
      <c r="G12" s="35"/>
      <c r="H12" s="108"/>
      <c r="K12" s="14">
        <f>SUM(K5:K9)</f>
        <v>89400</v>
      </c>
      <c r="L12" s="14">
        <f>SUM(L5:L9)</f>
        <v>72060</v>
      </c>
      <c r="M12" s="14">
        <f>SUM(M5:M11)</f>
        <v>19808</v>
      </c>
      <c r="N12" s="14"/>
    </row>
    <row r="13" spans="1:15" x14ac:dyDescent="0.3">
      <c r="A13" s="28">
        <v>46031</v>
      </c>
      <c r="B13" s="2" t="s">
        <v>3</v>
      </c>
      <c r="C13" s="44">
        <v>2500</v>
      </c>
      <c r="D13" s="9">
        <v>2500</v>
      </c>
      <c r="E13" s="9">
        <f t="shared" si="0"/>
        <v>0</v>
      </c>
      <c r="F13" s="9" t="s">
        <v>43</v>
      </c>
      <c r="G13" s="31"/>
      <c r="H13" s="108"/>
    </row>
    <row r="14" spans="1:15" x14ac:dyDescent="0.3">
      <c r="A14" s="27">
        <v>46034</v>
      </c>
      <c r="B14" s="15" t="s">
        <v>2</v>
      </c>
      <c r="C14" s="98">
        <v>12200</v>
      </c>
      <c r="D14" s="12"/>
      <c r="E14" s="12">
        <f t="shared" si="0"/>
        <v>12200</v>
      </c>
      <c r="F14" s="12" t="s">
        <v>47</v>
      </c>
      <c r="G14" s="31" t="s">
        <v>104</v>
      </c>
      <c r="H14" s="108"/>
      <c r="I14" s="13"/>
    </row>
    <row r="15" spans="1:15" x14ac:dyDescent="0.3">
      <c r="A15" s="27">
        <v>46034</v>
      </c>
      <c r="B15" s="15" t="s">
        <v>123</v>
      </c>
      <c r="C15" s="98">
        <v>5000</v>
      </c>
      <c r="D15" s="12"/>
      <c r="E15" s="12"/>
      <c r="F15" s="12"/>
      <c r="G15" s="31"/>
      <c r="H15" s="108"/>
      <c r="I15" s="13"/>
    </row>
    <row r="16" spans="1:15" x14ac:dyDescent="0.3">
      <c r="A16" s="27">
        <v>46035</v>
      </c>
      <c r="B16" s="15" t="s">
        <v>3</v>
      </c>
      <c r="C16" s="98">
        <v>2000</v>
      </c>
      <c r="D16" s="12">
        <v>2000</v>
      </c>
      <c r="E16" s="37">
        <f t="shared" si="0"/>
        <v>0</v>
      </c>
      <c r="F16" s="12" t="s">
        <v>94</v>
      </c>
      <c r="G16" s="10"/>
      <c r="H16" s="108"/>
      <c r="I16" s="13"/>
      <c r="L16" s="13"/>
      <c r="M16" s="14"/>
    </row>
    <row r="17" spans="1:14" x14ac:dyDescent="0.3">
      <c r="A17" s="27">
        <v>46036</v>
      </c>
      <c r="B17" s="15" t="s">
        <v>87</v>
      </c>
      <c r="C17" s="98">
        <v>8937.5</v>
      </c>
      <c r="D17" s="12">
        <v>8937.5</v>
      </c>
      <c r="E17" s="37">
        <f t="shared" si="0"/>
        <v>0</v>
      </c>
      <c r="F17" s="12" t="s">
        <v>95</v>
      </c>
      <c r="G17" s="10"/>
      <c r="H17" s="108"/>
      <c r="I17" s="13"/>
      <c r="K17" s="39"/>
      <c r="L17" s="39"/>
      <c r="M17" s="39"/>
      <c r="N17" s="3"/>
    </row>
    <row r="18" spans="1:14" x14ac:dyDescent="0.3">
      <c r="A18" s="27">
        <v>46037</v>
      </c>
      <c r="B18" s="15" t="s">
        <v>3</v>
      </c>
      <c r="C18" s="98">
        <v>1900</v>
      </c>
      <c r="D18" s="12">
        <v>1900</v>
      </c>
      <c r="E18" s="37">
        <f t="shared" si="0"/>
        <v>0</v>
      </c>
      <c r="F18" s="12" t="s">
        <v>93</v>
      </c>
      <c r="G18" s="36"/>
      <c r="H18" s="108"/>
      <c r="K18" s="39"/>
      <c r="L18" s="39"/>
      <c r="M18" s="40"/>
      <c r="N18" s="13"/>
    </row>
    <row r="19" spans="1:14" x14ac:dyDescent="0.3">
      <c r="A19" s="27">
        <v>46037</v>
      </c>
      <c r="B19" s="15" t="s">
        <v>96</v>
      </c>
      <c r="C19" s="99">
        <v>500</v>
      </c>
      <c r="D19" s="12">
        <v>500</v>
      </c>
      <c r="E19" s="37">
        <f t="shared" si="0"/>
        <v>0</v>
      </c>
      <c r="F19" s="12" t="s">
        <v>98</v>
      </c>
      <c r="G19" s="36"/>
      <c r="H19" s="108"/>
      <c r="M19" s="39"/>
      <c r="N19" s="3"/>
    </row>
    <row r="20" spans="1:14" x14ac:dyDescent="0.3">
      <c r="A20" s="27">
        <v>46040</v>
      </c>
      <c r="B20" s="15" t="s">
        <v>3</v>
      </c>
      <c r="C20" s="98">
        <v>2000</v>
      </c>
      <c r="D20" s="12">
        <v>2000</v>
      </c>
      <c r="E20" s="37">
        <f t="shared" si="0"/>
        <v>0</v>
      </c>
      <c r="F20" s="12" t="s">
        <v>92</v>
      </c>
      <c r="G20" s="36"/>
      <c r="H20" s="108"/>
      <c r="I20" s="13"/>
    </row>
    <row r="21" spans="1:14" x14ac:dyDescent="0.3">
      <c r="A21" s="27">
        <v>46041</v>
      </c>
      <c r="B21" s="15" t="s">
        <v>2</v>
      </c>
      <c r="C21" s="98">
        <v>8440</v>
      </c>
      <c r="D21" s="12">
        <v>5600</v>
      </c>
      <c r="E21" s="37">
        <f t="shared" si="0"/>
        <v>2840</v>
      </c>
      <c r="F21" s="12" t="s">
        <v>99</v>
      </c>
      <c r="G21" s="36"/>
      <c r="H21" s="109"/>
      <c r="I21" s="13"/>
    </row>
    <row r="22" spans="1:14" x14ac:dyDescent="0.3">
      <c r="A22" s="27">
        <v>46041</v>
      </c>
      <c r="B22" s="15" t="s">
        <v>3</v>
      </c>
      <c r="C22" s="98">
        <v>2200</v>
      </c>
      <c r="D22" s="12">
        <v>2200</v>
      </c>
      <c r="E22" s="12">
        <f t="shared" si="0"/>
        <v>0</v>
      </c>
      <c r="F22" s="12" t="s">
        <v>45</v>
      </c>
      <c r="G22" s="10"/>
      <c r="H22" s="108"/>
    </row>
    <row r="23" spans="1:14" x14ac:dyDescent="0.3">
      <c r="A23" s="27">
        <v>46042</v>
      </c>
      <c r="B23" s="15" t="s">
        <v>2</v>
      </c>
      <c r="C23" s="98">
        <v>7700</v>
      </c>
      <c r="D23" s="12">
        <v>6160</v>
      </c>
      <c r="E23" s="12">
        <f t="shared" si="0"/>
        <v>1540</v>
      </c>
      <c r="F23" s="12" t="s">
        <v>46</v>
      </c>
      <c r="G23" s="10"/>
      <c r="H23" s="108"/>
      <c r="I23" s="13"/>
    </row>
    <row r="24" spans="1:14" x14ac:dyDescent="0.3">
      <c r="A24" s="27">
        <v>46044</v>
      </c>
      <c r="B24" s="15" t="s">
        <v>3</v>
      </c>
      <c r="C24" s="98">
        <v>2800</v>
      </c>
      <c r="D24" s="12">
        <v>2800</v>
      </c>
      <c r="E24" s="37">
        <f t="shared" si="0"/>
        <v>0</v>
      </c>
      <c r="F24" s="12" t="s">
        <v>97</v>
      </c>
      <c r="G24" s="10"/>
      <c r="H24" s="108"/>
    </row>
    <row r="25" spans="1:14" x14ac:dyDescent="0.3">
      <c r="A25" s="27">
        <v>46048</v>
      </c>
      <c r="B25" s="15" t="s">
        <v>125</v>
      </c>
      <c r="C25" s="98">
        <v>700</v>
      </c>
      <c r="D25" s="12">
        <v>700</v>
      </c>
      <c r="E25" s="37"/>
      <c r="F25" s="12" t="s">
        <v>126</v>
      </c>
      <c r="G25" s="10"/>
      <c r="H25" s="108"/>
    </row>
    <row r="26" spans="1:14" x14ac:dyDescent="0.3">
      <c r="A26" s="27">
        <v>46049</v>
      </c>
      <c r="B26" s="15" t="s">
        <v>3</v>
      </c>
      <c r="C26" s="98">
        <v>2700</v>
      </c>
      <c r="D26" s="12"/>
      <c r="E26" s="37">
        <f t="shared" si="0"/>
        <v>2700</v>
      </c>
      <c r="F26" s="12" t="s">
        <v>103</v>
      </c>
      <c r="G26" s="36"/>
      <c r="H26" s="108"/>
    </row>
    <row r="27" spans="1:14" x14ac:dyDescent="0.3">
      <c r="A27" s="41">
        <v>46052</v>
      </c>
      <c r="B27" s="43" t="s">
        <v>3</v>
      </c>
      <c r="C27" s="44">
        <v>1500</v>
      </c>
      <c r="D27" s="44">
        <v>1500</v>
      </c>
      <c r="E27" s="42" t="s">
        <v>105</v>
      </c>
      <c r="F27" s="42" t="s">
        <v>106</v>
      </c>
      <c r="G27" s="45"/>
      <c r="H27" s="108"/>
    </row>
    <row r="28" spans="1:14" x14ac:dyDescent="0.3">
      <c r="A28" s="46"/>
      <c r="B28" s="46"/>
      <c r="C28" s="47">
        <f>SUM(C5:C27)</f>
        <v>78209.5</v>
      </c>
      <c r="D28" s="47">
        <v>51729.5</v>
      </c>
      <c r="E28" s="47">
        <v>25780</v>
      </c>
      <c r="F28" s="46"/>
      <c r="G28" s="48" t="s">
        <v>105</v>
      </c>
      <c r="H28" s="108"/>
    </row>
    <row r="29" spans="1:14" x14ac:dyDescent="0.3">
      <c r="A29" s="28"/>
      <c r="H29" s="108"/>
    </row>
    <row r="30" spans="1:14" ht="15.6" x14ac:dyDescent="0.3">
      <c r="A30" s="113" t="s">
        <v>246</v>
      </c>
      <c r="B30" s="113"/>
      <c r="C30" s="113"/>
      <c r="D30" s="113"/>
      <c r="E30" s="113"/>
      <c r="F30" s="113"/>
      <c r="G30" s="113"/>
      <c r="H30" s="108"/>
    </row>
    <row r="31" spans="1:14" x14ac:dyDescent="0.3">
      <c r="A31" s="6" t="s">
        <v>0</v>
      </c>
      <c r="B31" s="6" t="s">
        <v>1</v>
      </c>
      <c r="C31" s="7" t="s">
        <v>4</v>
      </c>
      <c r="D31" s="7"/>
      <c r="E31" s="6"/>
      <c r="F31" s="6"/>
      <c r="G31" s="6"/>
      <c r="H31" s="108"/>
    </row>
    <row r="32" spans="1:14" x14ac:dyDescent="0.3">
      <c r="A32" s="28">
        <v>46024</v>
      </c>
      <c r="B32" s="2" t="s">
        <v>24</v>
      </c>
      <c r="C32" s="9">
        <v>1000</v>
      </c>
      <c r="D32" s="15"/>
      <c r="E32" s="15"/>
      <c r="F32" s="22"/>
      <c r="G32" s="21"/>
      <c r="H32" s="108"/>
    </row>
    <row r="33" spans="1:8" x14ac:dyDescent="0.3">
      <c r="A33" s="28">
        <v>46027</v>
      </c>
      <c r="B33" s="2" t="s">
        <v>24</v>
      </c>
      <c r="C33" s="9">
        <v>1000</v>
      </c>
      <c r="D33" s="15"/>
      <c r="E33" s="15"/>
      <c r="F33" s="22"/>
      <c r="G33" s="21"/>
      <c r="H33" s="108"/>
    </row>
    <row r="34" spans="1:8" x14ac:dyDescent="0.3">
      <c r="A34" s="28">
        <v>46028</v>
      </c>
      <c r="B34" s="2" t="s">
        <v>24</v>
      </c>
      <c r="C34" s="9">
        <v>1000</v>
      </c>
      <c r="D34" s="15"/>
      <c r="E34" s="15"/>
      <c r="F34" s="22"/>
      <c r="G34" s="21"/>
      <c r="H34" s="108"/>
    </row>
    <row r="35" spans="1:8" x14ac:dyDescent="0.3">
      <c r="A35" s="27">
        <v>46029</v>
      </c>
      <c r="B35" s="2" t="s">
        <v>24</v>
      </c>
      <c r="C35" s="9">
        <v>1000</v>
      </c>
      <c r="D35" s="15"/>
      <c r="E35" s="15"/>
      <c r="F35" s="22"/>
      <c r="G35" s="21"/>
      <c r="H35" s="108"/>
    </row>
    <row r="36" spans="1:8" x14ac:dyDescent="0.3">
      <c r="A36" s="27">
        <v>46031</v>
      </c>
      <c r="B36" s="2" t="s">
        <v>24</v>
      </c>
      <c r="C36" s="9">
        <v>1000</v>
      </c>
      <c r="D36" s="15"/>
      <c r="E36" s="15"/>
      <c r="F36" s="22"/>
      <c r="G36" s="21"/>
      <c r="H36" s="108"/>
    </row>
    <row r="37" spans="1:8" x14ac:dyDescent="0.3">
      <c r="A37" s="27">
        <v>46034</v>
      </c>
      <c r="B37" s="2" t="s">
        <v>24</v>
      </c>
      <c r="C37" s="9">
        <f>200*4</f>
        <v>800</v>
      </c>
      <c r="D37" s="15"/>
      <c r="E37" s="15"/>
      <c r="F37" s="22"/>
      <c r="G37" s="21"/>
      <c r="H37" s="108"/>
    </row>
    <row r="38" spans="1:8" x14ac:dyDescent="0.3">
      <c r="A38" s="27">
        <v>46035</v>
      </c>
      <c r="B38" s="2" t="s">
        <v>24</v>
      </c>
      <c r="C38" s="9">
        <v>1000</v>
      </c>
      <c r="D38" s="15"/>
      <c r="E38" s="15"/>
      <c r="F38" s="22"/>
      <c r="G38" s="21"/>
      <c r="H38" s="108"/>
    </row>
    <row r="39" spans="1:8" x14ac:dyDescent="0.3">
      <c r="A39" s="27">
        <v>46036</v>
      </c>
      <c r="B39" s="2" t="s">
        <v>24</v>
      </c>
      <c r="C39" s="9">
        <f>200*4</f>
        <v>800</v>
      </c>
      <c r="D39" s="15"/>
      <c r="E39" s="15"/>
      <c r="F39" s="22"/>
      <c r="G39" s="21"/>
      <c r="H39" s="108"/>
    </row>
    <row r="40" spans="1:8" x14ac:dyDescent="0.3">
      <c r="A40" s="27">
        <v>46037</v>
      </c>
      <c r="B40" s="2" t="s">
        <v>24</v>
      </c>
      <c r="C40" s="9">
        <v>1000</v>
      </c>
      <c r="D40" s="15"/>
      <c r="E40" s="15"/>
      <c r="F40" s="22"/>
      <c r="G40" s="21"/>
      <c r="H40" s="108"/>
    </row>
    <row r="41" spans="1:8" x14ac:dyDescent="0.3">
      <c r="A41" s="27">
        <v>46040</v>
      </c>
      <c r="B41" s="2" t="s">
        <v>24</v>
      </c>
      <c r="C41" s="9">
        <v>1000</v>
      </c>
      <c r="D41" s="15"/>
      <c r="E41" s="15"/>
      <c r="F41" s="22"/>
      <c r="G41" s="21"/>
      <c r="H41" s="108"/>
    </row>
    <row r="42" spans="1:8" x14ac:dyDescent="0.3">
      <c r="A42" s="27">
        <v>46041</v>
      </c>
      <c r="B42" s="2" t="s">
        <v>24</v>
      </c>
      <c r="C42" s="9">
        <v>1000</v>
      </c>
      <c r="D42" s="15"/>
      <c r="E42" s="15"/>
      <c r="F42" s="22"/>
      <c r="G42" s="21"/>
      <c r="H42" s="108"/>
    </row>
    <row r="43" spans="1:8" x14ac:dyDescent="0.3">
      <c r="A43" s="27">
        <v>46042</v>
      </c>
      <c r="B43" s="2" t="s">
        <v>24</v>
      </c>
      <c r="C43" s="9">
        <v>1000</v>
      </c>
      <c r="H43" s="108"/>
    </row>
    <row r="44" spans="1:8" x14ac:dyDescent="0.3">
      <c r="A44" s="27">
        <v>46044</v>
      </c>
      <c r="B44" s="2" t="s">
        <v>24</v>
      </c>
      <c r="C44" s="9">
        <v>1000</v>
      </c>
      <c r="H44" s="108"/>
    </row>
    <row r="45" spans="1:8" x14ac:dyDescent="0.3">
      <c r="A45" s="27">
        <v>46045</v>
      </c>
      <c r="B45" s="2" t="s">
        <v>24</v>
      </c>
      <c r="C45" s="9">
        <v>1000</v>
      </c>
      <c r="H45" s="108"/>
    </row>
    <row r="46" spans="1:8" x14ac:dyDescent="0.3">
      <c r="A46" s="27">
        <v>46049</v>
      </c>
      <c r="B46" s="2" t="s">
        <v>24</v>
      </c>
      <c r="C46" s="9">
        <v>1000</v>
      </c>
      <c r="H46" s="108"/>
    </row>
    <row r="47" spans="1:8" x14ac:dyDescent="0.3">
      <c r="A47" s="27">
        <v>46052</v>
      </c>
      <c r="B47" s="2" t="s">
        <v>24</v>
      </c>
      <c r="C47" s="9">
        <v>1000</v>
      </c>
      <c r="H47" s="108"/>
    </row>
    <row r="48" spans="1:8" x14ac:dyDescent="0.3">
      <c r="A48" s="6"/>
      <c r="B48" s="6"/>
      <c r="C48" s="7">
        <f>SUM(C32:C47)</f>
        <v>15600</v>
      </c>
      <c r="D48" s="7"/>
      <c r="E48" s="7"/>
      <c r="F48" s="7"/>
      <c r="G48" s="7"/>
      <c r="H48" s="108"/>
    </row>
    <row r="49" spans="1:8" x14ac:dyDescent="0.3">
      <c r="A49" s="28"/>
      <c r="H49" s="108"/>
    </row>
    <row r="50" spans="1:8" ht="15.6" x14ac:dyDescent="0.3">
      <c r="A50" s="113" t="s">
        <v>247</v>
      </c>
      <c r="B50" s="113"/>
      <c r="C50" s="113"/>
      <c r="D50" s="113"/>
      <c r="E50" s="113"/>
      <c r="F50" s="113"/>
      <c r="G50" s="113"/>
      <c r="H50" s="108"/>
    </row>
    <row r="51" spans="1:8" x14ac:dyDescent="0.3">
      <c r="A51" s="6" t="s">
        <v>0</v>
      </c>
      <c r="B51" s="6" t="s">
        <v>1</v>
      </c>
      <c r="C51" s="7" t="s">
        <v>4</v>
      </c>
      <c r="D51" s="7" t="s">
        <v>12</v>
      </c>
      <c r="E51" s="6"/>
      <c r="F51" s="6"/>
      <c r="G51" s="6"/>
      <c r="H51" s="108"/>
    </row>
    <row r="52" spans="1:8" x14ac:dyDescent="0.3">
      <c r="A52" s="28">
        <v>46024</v>
      </c>
      <c r="B52" s="2" t="s">
        <v>251</v>
      </c>
      <c r="C52" s="9">
        <v>110</v>
      </c>
      <c r="H52" s="108"/>
    </row>
    <row r="53" spans="1:8" x14ac:dyDescent="0.3">
      <c r="A53" s="28">
        <v>46027</v>
      </c>
      <c r="B53" s="2" t="s">
        <v>251</v>
      </c>
      <c r="C53" s="9">
        <v>110</v>
      </c>
      <c r="H53" s="108"/>
    </row>
    <row r="54" spans="1:8" x14ac:dyDescent="0.3">
      <c r="A54" s="28">
        <v>46028</v>
      </c>
      <c r="B54" s="2" t="s">
        <v>251</v>
      </c>
      <c r="C54" s="9">
        <v>110</v>
      </c>
      <c r="H54" s="108"/>
    </row>
    <row r="55" spans="1:8" x14ac:dyDescent="0.3">
      <c r="A55" s="27">
        <v>46029</v>
      </c>
      <c r="B55" s="2" t="s">
        <v>251</v>
      </c>
      <c r="C55" s="9">
        <v>110</v>
      </c>
      <c r="H55" s="108"/>
    </row>
    <row r="56" spans="1:8" x14ac:dyDescent="0.3">
      <c r="A56" s="27">
        <v>46031</v>
      </c>
      <c r="B56" s="2" t="s">
        <v>251</v>
      </c>
      <c r="C56" s="9">
        <v>110</v>
      </c>
      <c r="H56" s="108"/>
    </row>
    <row r="57" spans="1:8" x14ac:dyDescent="0.3">
      <c r="A57" s="27">
        <v>46034</v>
      </c>
      <c r="B57" s="2" t="s">
        <v>251</v>
      </c>
      <c r="C57" s="9">
        <v>90</v>
      </c>
      <c r="H57" s="108"/>
    </row>
    <row r="58" spans="1:8" x14ac:dyDescent="0.3">
      <c r="A58" s="27">
        <v>46035</v>
      </c>
      <c r="B58" s="2" t="s">
        <v>251</v>
      </c>
      <c r="C58" s="9">
        <v>110</v>
      </c>
      <c r="H58" s="108"/>
    </row>
    <row r="59" spans="1:8" x14ac:dyDescent="0.3">
      <c r="A59" s="27">
        <v>46036</v>
      </c>
      <c r="B59" s="2" t="s">
        <v>251</v>
      </c>
      <c r="C59" s="9">
        <v>90</v>
      </c>
      <c r="H59" s="108"/>
    </row>
    <row r="60" spans="1:8" x14ac:dyDescent="0.3">
      <c r="A60" s="27">
        <v>46037</v>
      </c>
      <c r="B60" s="2" t="s">
        <v>251</v>
      </c>
      <c r="C60" s="9">
        <v>110</v>
      </c>
      <c r="H60" s="108"/>
    </row>
    <row r="61" spans="1:8" x14ac:dyDescent="0.3">
      <c r="A61" s="27">
        <v>46040</v>
      </c>
      <c r="B61" s="2" t="s">
        <v>251</v>
      </c>
      <c r="C61" s="9">
        <v>110</v>
      </c>
      <c r="H61" s="108"/>
    </row>
    <row r="62" spans="1:8" x14ac:dyDescent="0.3">
      <c r="A62" s="27">
        <v>46041</v>
      </c>
      <c r="B62" s="2" t="s">
        <v>251</v>
      </c>
      <c r="C62" s="9">
        <v>110</v>
      </c>
      <c r="H62" s="108"/>
    </row>
    <row r="63" spans="1:8" x14ac:dyDescent="0.3">
      <c r="A63" s="27">
        <v>46042</v>
      </c>
      <c r="B63" s="2" t="s">
        <v>251</v>
      </c>
      <c r="C63" s="9">
        <v>110</v>
      </c>
      <c r="H63" s="108"/>
    </row>
    <row r="64" spans="1:8" x14ac:dyDescent="0.3">
      <c r="A64" s="27">
        <v>46044</v>
      </c>
      <c r="B64" s="2" t="s">
        <v>251</v>
      </c>
      <c r="C64" s="9">
        <v>110</v>
      </c>
      <c r="H64" s="108"/>
    </row>
    <row r="65" spans="1:10" x14ac:dyDescent="0.3">
      <c r="A65" s="27">
        <v>46045</v>
      </c>
      <c r="B65" s="2" t="s">
        <v>251</v>
      </c>
      <c r="C65" s="9">
        <v>110</v>
      </c>
      <c r="H65" s="108"/>
    </row>
    <row r="66" spans="1:10" x14ac:dyDescent="0.3">
      <c r="A66" s="27">
        <v>46049</v>
      </c>
      <c r="B66" s="2" t="s">
        <v>251</v>
      </c>
      <c r="C66" s="9">
        <v>110</v>
      </c>
      <c r="H66" s="108"/>
    </row>
    <row r="67" spans="1:10" x14ac:dyDescent="0.3">
      <c r="A67" s="27">
        <v>46052</v>
      </c>
      <c r="B67" s="2" t="s">
        <v>251</v>
      </c>
      <c r="C67" s="9">
        <v>110</v>
      </c>
      <c r="H67" s="108"/>
    </row>
    <row r="68" spans="1:10" x14ac:dyDescent="0.3">
      <c r="A68" s="6"/>
      <c r="B68" s="6"/>
      <c r="C68" s="7">
        <f>SUM(C52:C67)</f>
        <v>1720</v>
      </c>
      <c r="D68" s="7"/>
      <c r="E68" s="7"/>
      <c r="F68" s="7"/>
      <c r="G68" s="7"/>
      <c r="H68" s="108"/>
    </row>
    <row r="69" spans="1:10" ht="13.8" customHeight="1" x14ac:dyDescent="0.3">
      <c r="A69" s="28"/>
      <c r="H69" s="108"/>
    </row>
    <row r="70" spans="1:10" ht="15.6" x14ac:dyDescent="0.3">
      <c r="A70" s="113" t="s">
        <v>27</v>
      </c>
      <c r="B70" s="113"/>
      <c r="C70" s="113"/>
      <c r="D70" s="113"/>
      <c r="E70" s="113"/>
      <c r="F70" s="113"/>
      <c r="G70" s="113"/>
      <c r="H70" s="108"/>
    </row>
    <row r="71" spans="1:10" ht="15.6" x14ac:dyDescent="0.3">
      <c r="A71" s="113" t="s">
        <v>32</v>
      </c>
      <c r="B71" s="113"/>
      <c r="C71" s="113"/>
      <c r="D71" s="113"/>
      <c r="E71" s="113"/>
      <c r="F71" s="113"/>
      <c r="G71" s="113"/>
      <c r="H71" s="108"/>
    </row>
    <row r="72" spans="1:10" x14ac:dyDescent="0.3">
      <c r="A72" s="6" t="s">
        <v>0</v>
      </c>
      <c r="B72" s="6" t="s">
        <v>1</v>
      </c>
      <c r="C72" s="7" t="s">
        <v>4</v>
      </c>
      <c r="D72" s="7" t="s">
        <v>11</v>
      </c>
      <c r="E72" s="7"/>
      <c r="F72" s="7"/>
      <c r="G72" s="7"/>
      <c r="H72" s="108"/>
      <c r="J72" s="30"/>
    </row>
    <row r="73" spans="1:10" x14ac:dyDescent="0.3">
      <c r="A73" s="28">
        <v>46030</v>
      </c>
      <c r="B73" s="2" t="s">
        <v>87</v>
      </c>
      <c r="C73" s="9">
        <v>1174.0999999999999</v>
      </c>
      <c r="D73" s="2" t="s">
        <v>81</v>
      </c>
      <c r="H73" s="108"/>
    </row>
    <row r="74" spans="1:10" x14ac:dyDescent="0.3">
      <c r="A74" s="28">
        <v>46035</v>
      </c>
      <c r="B74" s="2" t="s">
        <v>91</v>
      </c>
      <c r="C74" s="9">
        <v>1290</v>
      </c>
      <c r="D74" s="2" t="s">
        <v>81</v>
      </c>
      <c r="H74" s="108"/>
    </row>
    <row r="75" spans="1:10" x14ac:dyDescent="0.3">
      <c r="A75" s="28">
        <v>46041</v>
      </c>
      <c r="B75" s="2" t="s">
        <v>87</v>
      </c>
      <c r="C75" s="9">
        <v>1269.3</v>
      </c>
      <c r="D75" s="2" t="s">
        <v>101</v>
      </c>
      <c r="H75" s="108"/>
    </row>
    <row r="76" spans="1:10" x14ac:dyDescent="0.3">
      <c r="A76" s="6"/>
      <c r="B76" s="6"/>
      <c r="C76" s="7">
        <f>SUM(C72:C75)</f>
        <v>3733.3999999999996</v>
      </c>
      <c r="D76" s="7"/>
      <c r="E76" s="7"/>
      <c r="F76" s="7"/>
      <c r="G76" s="7"/>
      <c r="H76" s="108"/>
    </row>
    <row r="77" spans="1:10" x14ac:dyDescent="0.3">
      <c r="A77" s="28"/>
      <c r="H77" s="108"/>
    </row>
    <row r="78" spans="1:10" ht="15.6" x14ac:dyDescent="0.3">
      <c r="A78" s="113" t="s">
        <v>22</v>
      </c>
      <c r="B78" s="113"/>
      <c r="C78" s="113"/>
      <c r="D78" s="113"/>
      <c r="E78" s="113"/>
      <c r="F78" s="113"/>
      <c r="G78" s="113"/>
      <c r="H78" s="108"/>
    </row>
    <row r="79" spans="1:10" x14ac:dyDescent="0.3">
      <c r="A79" s="6" t="s">
        <v>0</v>
      </c>
      <c r="B79" s="6" t="s">
        <v>1</v>
      </c>
      <c r="C79" s="7" t="s">
        <v>4</v>
      </c>
      <c r="D79" s="7" t="s">
        <v>11</v>
      </c>
      <c r="E79" s="7"/>
      <c r="F79" s="7"/>
      <c r="G79" s="7"/>
      <c r="H79" s="108"/>
    </row>
    <row r="80" spans="1:10" x14ac:dyDescent="0.3">
      <c r="A80" s="28">
        <v>46031</v>
      </c>
      <c r="B80" s="2" t="s">
        <v>89</v>
      </c>
      <c r="C80" s="3">
        <v>6300</v>
      </c>
      <c r="D80" s="2" t="s">
        <v>81</v>
      </c>
      <c r="H80" s="108"/>
    </row>
    <row r="81" spans="1:8" x14ac:dyDescent="0.3">
      <c r="A81" s="6"/>
      <c r="B81" s="6"/>
      <c r="C81" s="7">
        <f>SUM(C80:C80)</f>
        <v>6300</v>
      </c>
      <c r="D81" s="7"/>
      <c r="E81" s="7"/>
      <c r="F81" s="7"/>
      <c r="G81" s="7"/>
      <c r="H81" s="108"/>
    </row>
    <row r="82" spans="1:8" x14ac:dyDescent="0.3">
      <c r="A82" s="28"/>
      <c r="C82" s="5"/>
      <c r="H82" s="108"/>
    </row>
    <row r="83" spans="1:8" ht="15.6" x14ac:dyDescent="0.3">
      <c r="A83" s="113" t="s">
        <v>23</v>
      </c>
      <c r="B83" s="113"/>
      <c r="C83" s="113"/>
      <c r="D83" s="113"/>
      <c r="E83" s="113"/>
      <c r="F83" s="113"/>
      <c r="G83" s="113"/>
      <c r="H83" s="108"/>
    </row>
    <row r="84" spans="1:8" x14ac:dyDescent="0.3">
      <c r="A84" s="6" t="s">
        <v>0</v>
      </c>
      <c r="B84" s="6" t="s">
        <v>1</v>
      </c>
      <c r="C84" s="7" t="s">
        <v>4</v>
      </c>
      <c r="D84" s="7" t="s">
        <v>12</v>
      </c>
      <c r="E84" s="7"/>
      <c r="F84" s="7"/>
      <c r="G84" s="7"/>
      <c r="H84" s="108"/>
    </row>
    <row r="85" spans="1:8" x14ac:dyDescent="0.3">
      <c r="A85" s="28">
        <v>46023</v>
      </c>
      <c r="B85" s="2" t="s">
        <v>5</v>
      </c>
      <c r="C85" s="9">
        <v>2212</v>
      </c>
      <c r="D85" s="2" t="s">
        <v>81</v>
      </c>
      <c r="H85" s="108"/>
    </row>
    <row r="86" spans="1:8" x14ac:dyDescent="0.3">
      <c r="A86" s="28">
        <v>46023</v>
      </c>
      <c r="B86" s="2" t="s">
        <v>155</v>
      </c>
      <c r="C86" s="9">
        <v>86.31</v>
      </c>
      <c r="D86" s="2" t="s">
        <v>81</v>
      </c>
      <c r="H86" s="108"/>
    </row>
    <row r="87" spans="1:8" x14ac:dyDescent="0.3">
      <c r="A87" s="28">
        <v>46023</v>
      </c>
      <c r="B87" s="2" t="s">
        <v>156</v>
      </c>
      <c r="C87" s="9">
        <v>136.56</v>
      </c>
      <c r="D87" s="2" t="s">
        <v>81</v>
      </c>
      <c r="H87" s="108"/>
    </row>
    <row r="88" spans="1:8" x14ac:dyDescent="0.3">
      <c r="A88" s="28">
        <v>46025</v>
      </c>
      <c r="B88" s="2" t="s">
        <v>36</v>
      </c>
      <c r="C88" s="9">
        <v>1000</v>
      </c>
      <c r="D88" s="2" t="s">
        <v>81</v>
      </c>
      <c r="H88" s="108"/>
    </row>
    <row r="89" spans="1:8" x14ac:dyDescent="0.3">
      <c r="A89" s="28">
        <v>46027</v>
      </c>
      <c r="B89" s="2" t="s">
        <v>19</v>
      </c>
      <c r="C89" s="9">
        <v>1580</v>
      </c>
      <c r="D89" s="2" t="s">
        <v>81</v>
      </c>
      <c r="H89" s="108"/>
    </row>
    <row r="90" spans="1:8" x14ac:dyDescent="0.3">
      <c r="A90" s="27">
        <v>46030</v>
      </c>
      <c r="B90" s="15" t="s">
        <v>33</v>
      </c>
      <c r="C90" s="12">
        <v>153.26</v>
      </c>
      <c r="D90" s="15" t="s">
        <v>81</v>
      </c>
      <c r="H90" s="108"/>
    </row>
    <row r="91" spans="1:8" x14ac:dyDescent="0.3">
      <c r="A91" s="28">
        <v>46032</v>
      </c>
      <c r="B91" s="2" t="s">
        <v>6</v>
      </c>
      <c r="C91" s="9">
        <v>251.55</v>
      </c>
      <c r="D91" s="2" t="s">
        <v>81</v>
      </c>
      <c r="H91" s="108"/>
    </row>
    <row r="92" spans="1:8" x14ac:dyDescent="0.3">
      <c r="A92" s="27">
        <v>46034</v>
      </c>
      <c r="B92" s="15" t="s">
        <v>14</v>
      </c>
      <c r="C92" s="12">
        <v>400</v>
      </c>
      <c r="D92" s="2" t="s">
        <v>81</v>
      </c>
      <c r="H92" s="108"/>
    </row>
    <row r="93" spans="1:8" x14ac:dyDescent="0.3">
      <c r="A93" s="28">
        <v>46037</v>
      </c>
      <c r="B93" s="2" t="s">
        <v>236</v>
      </c>
      <c r="C93" s="9">
        <v>644.28</v>
      </c>
      <c r="D93" s="2" t="s">
        <v>81</v>
      </c>
      <c r="H93" s="108"/>
    </row>
    <row r="94" spans="1:8" x14ac:dyDescent="0.3">
      <c r="A94" s="27">
        <v>46039</v>
      </c>
      <c r="B94" s="15" t="s">
        <v>7</v>
      </c>
      <c r="C94" s="12">
        <v>409.9</v>
      </c>
      <c r="D94" s="15" t="s">
        <v>81</v>
      </c>
      <c r="H94" s="108"/>
    </row>
    <row r="95" spans="1:8" x14ac:dyDescent="0.3">
      <c r="A95" s="27">
        <v>46040</v>
      </c>
      <c r="B95" s="15" t="s">
        <v>15</v>
      </c>
      <c r="C95" s="12">
        <v>941.6</v>
      </c>
      <c r="D95" s="15" t="s">
        <v>81</v>
      </c>
      <c r="H95" s="108"/>
    </row>
    <row r="96" spans="1:8" x14ac:dyDescent="0.3">
      <c r="A96" s="27">
        <v>46042</v>
      </c>
      <c r="B96" s="15" t="s">
        <v>18</v>
      </c>
      <c r="C96" s="12">
        <v>1691.83</v>
      </c>
      <c r="D96" s="15" t="s">
        <v>81</v>
      </c>
      <c r="H96" s="108"/>
    </row>
    <row r="97" spans="1:10" x14ac:dyDescent="0.3">
      <c r="A97" s="29">
        <v>46052</v>
      </c>
      <c r="B97" s="23" t="s">
        <v>90</v>
      </c>
      <c r="C97" s="24">
        <v>485.76</v>
      </c>
      <c r="D97" s="23"/>
      <c r="H97" s="108"/>
    </row>
    <row r="98" spans="1:10" x14ac:dyDescent="0.3">
      <c r="A98" s="27">
        <v>46052</v>
      </c>
      <c r="B98" s="15" t="s">
        <v>25</v>
      </c>
      <c r="C98" s="12">
        <v>2000</v>
      </c>
      <c r="D98" s="15" t="s">
        <v>81</v>
      </c>
      <c r="H98" s="108"/>
    </row>
    <row r="99" spans="1:10" x14ac:dyDescent="0.3">
      <c r="A99" s="27">
        <v>46052</v>
      </c>
      <c r="B99" s="15" t="s">
        <v>241</v>
      </c>
      <c r="C99" s="12">
        <v>313.8</v>
      </c>
      <c r="D99" s="15"/>
      <c r="H99" s="108"/>
    </row>
    <row r="100" spans="1:10" x14ac:dyDescent="0.3">
      <c r="A100" s="29">
        <v>46052</v>
      </c>
      <c r="B100" s="23" t="s">
        <v>30</v>
      </c>
      <c r="C100" s="24">
        <f>C28*10%</f>
        <v>7820.9500000000007</v>
      </c>
      <c r="D100" s="23"/>
      <c r="H100" s="108"/>
    </row>
    <row r="101" spans="1:10" x14ac:dyDescent="0.3">
      <c r="A101" s="6"/>
      <c r="B101" s="6"/>
      <c r="C101" s="7">
        <f>SUM(C85:C100)</f>
        <v>20127.800000000003</v>
      </c>
      <c r="D101" s="6"/>
      <c r="E101" s="6"/>
      <c r="F101" s="6"/>
      <c r="G101" s="6"/>
      <c r="H101" s="108"/>
    </row>
    <row r="102" spans="1:10" x14ac:dyDescent="0.3">
      <c r="A102" s="28"/>
      <c r="H102" s="108"/>
    </row>
    <row r="103" spans="1:10" ht="15.6" x14ac:dyDescent="0.3">
      <c r="A103" s="113" t="s">
        <v>82</v>
      </c>
      <c r="B103" s="113"/>
      <c r="C103" s="113"/>
      <c r="D103" s="113"/>
      <c r="E103" s="113"/>
      <c r="F103" s="113"/>
      <c r="G103" s="113"/>
      <c r="H103" s="108"/>
    </row>
    <row r="104" spans="1:10" x14ac:dyDescent="0.3">
      <c r="A104" s="6" t="s">
        <v>0</v>
      </c>
      <c r="B104" s="6" t="s">
        <v>1</v>
      </c>
      <c r="C104" s="7" t="s">
        <v>4</v>
      </c>
      <c r="D104" s="7" t="s">
        <v>12</v>
      </c>
      <c r="E104" s="6"/>
      <c r="F104" s="6"/>
      <c r="G104" s="6"/>
      <c r="H104" s="108"/>
    </row>
    <row r="105" spans="1:10" x14ac:dyDescent="0.3">
      <c r="A105" s="28">
        <v>46027</v>
      </c>
      <c r="C105" s="9">
        <v>9100</v>
      </c>
      <c r="E105" s="2" t="s">
        <v>83</v>
      </c>
      <c r="H105" s="108"/>
    </row>
    <row r="106" spans="1:10" x14ac:dyDescent="0.3">
      <c r="A106" s="28">
        <v>46028</v>
      </c>
      <c r="C106" s="9">
        <v>4900</v>
      </c>
      <c r="H106" s="108"/>
      <c r="J106" s="9"/>
    </row>
    <row r="107" spans="1:10" x14ac:dyDescent="0.3">
      <c r="A107" s="27">
        <v>46041</v>
      </c>
      <c r="B107" s="15"/>
      <c r="C107" s="12">
        <v>4550</v>
      </c>
      <c r="D107" s="15"/>
      <c r="E107" s="15" t="s">
        <v>100</v>
      </c>
      <c r="H107" s="108"/>
    </row>
    <row r="108" spans="1:10" ht="15" thickBot="1" x14ac:dyDescent="0.35">
      <c r="A108" s="6"/>
      <c r="B108" s="6"/>
      <c r="C108" s="7">
        <f>SUM(C105:C107)</f>
        <v>18550</v>
      </c>
      <c r="D108" s="6"/>
      <c r="E108" s="6"/>
      <c r="F108" s="6"/>
      <c r="G108" s="6"/>
      <c r="H108" s="110"/>
    </row>
    <row r="109" spans="1:10" ht="15" thickTop="1" x14ac:dyDescent="0.3">
      <c r="A109" s="28"/>
      <c r="C109" s="16"/>
    </row>
    <row r="110" spans="1:10" x14ac:dyDescent="0.3">
      <c r="B110" s="4"/>
      <c r="C110" s="5"/>
      <c r="D110" s="4"/>
    </row>
    <row r="111" spans="1:10" x14ac:dyDescent="0.3">
      <c r="B111" s="4" t="s">
        <v>26</v>
      </c>
      <c r="C111" s="5">
        <f>C28</f>
        <v>78209.5</v>
      </c>
      <c r="D111" s="4"/>
    </row>
    <row r="112" spans="1:10" x14ac:dyDescent="0.3">
      <c r="B112" s="4" t="s">
        <v>27</v>
      </c>
      <c r="C112" s="5">
        <f>C48+C76+C81+C101+C108</f>
        <v>64311.200000000004</v>
      </c>
    </row>
    <row r="113" spans="2:3" x14ac:dyDescent="0.3">
      <c r="B113" s="4" t="s">
        <v>28</v>
      </c>
      <c r="C113" s="5">
        <f>C111-C112</f>
        <v>13898.299999999996</v>
      </c>
    </row>
    <row r="114" spans="2:3" x14ac:dyDescent="0.3">
      <c r="B114" s="4" t="s">
        <v>31</v>
      </c>
      <c r="C114" s="5">
        <f>C100+C113</f>
        <v>21719.249999999996</v>
      </c>
    </row>
  </sheetData>
  <sortState xmlns:xlrd2="http://schemas.microsoft.com/office/spreadsheetml/2017/richdata2" ref="A85:D100">
    <sortCondition ref="A85:A100"/>
  </sortState>
  <mergeCells count="10">
    <mergeCell ref="A1:O1"/>
    <mergeCell ref="A103:G103"/>
    <mergeCell ref="A30:G30"/>
    <mergeCell ref="A3:G3"/>
    <mergeCell ref="I3:O3"/>
    <mergeCell ref="A70:G70"/>
    <mergeCell ref="A71:G71"/>
    <mergeCell ref="A78:G78"/>
    <mergeCell ref="A83:G83"/>
    <mergeCell ref="A50:G50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M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BFC4A-A96E-4638-A032-54502FA26D87}">
  <dimension ref="A1:O123"/>
  <sheetViews>
    <sheetView showGridLines="0" topLeftCell="A98" workbookViewId="0">
      <selection activeCell="C121" sqref="C121"/>
    </sheetView>
  </sheetViews>
  <sheetFormatPr defaultRowHeight="14.4" x14ac:dyDescent="0.3"/>
  <cols>
    <col min="1" max="1" width="10.6640625" style="2" customWidth="1"/>
    <col min="2" max="2" width="15.88671875" style="2" bestFit="1" customWidth="1"/>
    <col min="3" max="3" width="11.44140625" style="3" bestFit="1" customWidth="1"/>
    <col min="4" max="4" width="11.5546875" style="2" bestFit="1" customWidth="1"/>
    <col min="5" max="5" width="11.44140625" style="2" bestFit="1" customWidth="1"/>
    <col min="6" max="6" width="13.33203125" style="3" bestFit="1" customWidth="1"/>
    <col min="7" max="7" width="9.5546875" style="11" bestFit="1" customWidth="1"/>
    <col min="8" max="8" width="2.33203125" customWidth="1"/>
    <col min="9" max="9" width="10.6640625" style="2" bestFit="1" customWidth="1"/>
    <col min="10" max="10" width="12.88671875" style="3" bestFit="1" customWidth="1"/>
    <col min="11" max="11" width="11.44140625" style="2" bestFit="1" customWidth="1"/>
    <col min="12" max="12" width="10.5546875" style="2" bestFit="1" customWidth="1"/>
    <col min="13" max="13" width="10.33203125" style="2" bestFit="1" customWidth="1"/>
    <col min="14" max="14" width="11.44140625" style="2" bestFit="1" customWidth="1"/>
    <col min="15" max="15" width="8.88671875" style="2"/>
  </cols>
  <sheetData>
    <row r="1" spans="1:15" ht="21" customHeight="1" x14ac:dyDescent="0.3">
      <c r="A1" s="114" t="s">
        <v>102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2" spans="1:15" ht="15" thickBot="1" x14ac:dyDescent="0.35"/>
    <row r="3" spans="1:15" ht="16.2" thickTop="1" x14ac:dyDescent="0.3">
      <c r="A3" s="113" t="s">
        <v>26</v>
      </c>
      <c r="B3" s="113"/>
      <c r="C3" s="113"/>
      <c r="D3" s="113"/>
      <c r="E3" s="113"/>
      <c r="F3" s="113"/>
      <c r="G3" s="113"/>
      <c r="H3" s="107"/>
      <c r="I3" s="113" t="s">
        <v>35</v>
      </c>
      <c r="J3" s="113"/>
      <c r="K3" s="113"/>
      <c r="L3" s="113"/>
      <c r="M3" s="113"/>
      <c r="N3" s="113"/>
      <c r="O3" s="113"/>
    </row>
    <row r="4" spans="1:15" x14ac:dyDescent="0.3">
      <c r="A4" s="6" t="s">
        <v>0</v>
      </c>
      <c r="B4" s="6" t="s">
        <v>1</v>
      </c>
      <c r="C4" s="7" t="s">
        <v>4</v>
      </c>
      <c r="D4" s="7" t="s">
        <v>21</v>
      </c>
      <c r="E4" s="7" t="s">
        <v>8</v>
      </c>
      <c r="F4" s="7" t="s">
        <v>16</v>
      </c>
      <c r="G4" s="20"/>
      <c r="H4" s="108"/>
      <c r="I4" s="6" t="s">
        <v>0</v>
      </c>
      <c r="J4" s="6" t="s">
        <v>1</v>
      </c>
      <c r="K4" s="7" t="s">
        <v>4</v>
      </c>
      <c r="L4" s="7" t="s">
        <v>21</v>
      </c>
      <c r="M4" s="7" t="s">
        <v>8</v>
      </c>
      <c r="N4" s="7" t="s">
        <v>16</v>
      </c>
      <c r="O4" s="7" t="s">
        <v>12</v>
      </c>
    </row>
    <row r="5" spans="1:15" x14ac:dyDescent="0.3">
      <c r="A5" s="41">
        <v>46055</v>
      </c>
      <c r="B5" s="42" t="s">
        <v>2</v>
      </c>
      <c r="C5" s="100">
        <v>22550</v>
      </c>
      <c r="D5" s="100">
        <v>22550</v>
      </c>
      <c r="E5" s="53"/>
      <c r="F5" s="42" t="s">
        <v>110</v>
      </c>
      <c r="G5" s="31"/>
      <c r="H5" s="108"/>
      <c r="I5" s="41">
        <v>45988</v>
      </c>
      <c r="J5" s="50" t="s">
        <v>2</v>
      </c>
      <c r="K5" s="51">
        <v>34240</v>
      </c>
      <c r="L5" s="51">
        <v>32392</v>
      </c>
      <c r="M5" s="51">
        <v>1848</v>
      </c>
      <c r="N5" s="50" t="s">
        <v>13</v>
      </c>
      <c r="O5" s="45"/>
    </row>
    <row r="6" spans="1:15" x14ac:dyDescent="0.3">
      <c r="A6" s="41">
        <v>46057</v>
      </c>
      <c r="B6" s="42" t="s">
        <v>2</v>
      </c>
      <c r="C6" s="100">
        <v>17880</v>
      </c>
      <c r="D6" s="100">
        <v>17880</v>
      </c>
      <c r="E6" s="53"/>
      <c r="F6" s="42" t="s">
        <v>111</v>
      </c>
      <c r="G6" s="31"/>
      <c r="H6" s="108"/>
      <c r="I6" s="41">
        <v>46006</v>
      </c>
      <c r="J6" s="42" t="s">
        <v>2</v>
      </c>
      <c r="K6" s="44">
        <v>10745</v>
      </c>
      <c r="L6" s="44">
        <v>10745</v>
      </c>
      <c r="M6" s="42" t="s">
        <v>105</v>
      </c>
      <c r="N6" s="42" t="s">
        <v>100</v>
      </c>
      <c r="O6" s="111">
        <v>46055</v>
      </c>
    </row>
    <row r="7" spans="1:15" x14ac:dyDescent="0.3">
      <c r="A7" s="41">
        <v>46057</v>
      </c>
      <c r="B7" s="42" t="s">
        <v>123</v>
      </c>
      <c r="C7" s="100">
        <v>5000</v>
      </c>
      <c r="D7" s="100">
        <v>5000</v>
      </c>
      <c r="E7" s="53"/>
      <c r="F7" s="42"/>
      <c r="G7" s="31"/>
      <c r="H7" s="108"/>
      <c r="I7" s="41">
        <v>46052</v>
      </c>
      <c r="J7" s="50" t="s">
        <v>2</v>
      </c>
      <c r="K7" s="45"/>
      <c r="L7" s="45"/>
      <c r="M7" s="50" t="s">
        <v>105</v>
      </c>
      <c r="N7" s="50" t="s">
        <v>48</v>
      </c>
      <c r="O7" s="45"/>
    </row>
    <row r="8" spans="1:15" x14ac:dyDescent="0.3">
      <c r="A8" s="41">
        <v>46059</v>
      </c>
      <c r="B8" s="42" t="s">
        <v>3</v>
      </c>
      <c r="C8" s="100">
        <v>3000</v>
      </c>
      <c r="D8" s="100">
        <v>3000</v>
      </c>
      <c r="E8" s="53"/>
      <c r="F8" s="52" t="s">
        <v>127</v>
      </c>
      <c r="G8" s="10"/>
      <c r="H8" s="108"/>
      <c r="I8" s="41">
        <v>46013</v>
      </c>
      <c r="J8" s="42" t="s">
        <v>2</v>
      </c>
      <c r="K8" s="44">
        <v>10740</v>
      </c>
      <c r="L8" s="44">
        <v>10740</v>
      </c>
      <c r="M8" s="42" t="s">
        <v>105</v>
      </c>
      <c r="N8" s="42" t="s">
        <v>79</v>
      </c>
      <c r="O8" s="111">
        <v>46062</v>
      </c>
    </row>
    <row r="9" spans="1:15" x14ac:dyDescent="0.3">
      <c r="A9" s="41">
        <v>46057</v>
      </c>
      <c r="B9" s="42" t="s">
        <v>87</v>
      </c>
      <c r="C9" s="100">
        <v>60</v>
      </c>
      <c r="D9" s="100">
        <v>60</v>
      </c>
      <c r="E9" s="53"/>
      <c r="F9" s="52" t="s">
        <v>112</v>
      </c>
      <c r="G9" s="10"/>
      <c r="H9" s="108"/>
      <c r="I9" s="41">
        <v>46034</v>
      </c>
      <c r="J9" s="42" t="s">
        <v>2</v>
      </c>
      <c r="K9" s="44">
        <v>17200</v>
      </c>
      <c r="L9" s="44">
        <v>17200</v>
      </c>
      <c r="M9" s="42" t="s">
        <v>105</v>
      </c>
      <c r="N9" s="42" t="s">
        <v>47</v>
      </c>
      <c r="O9" s="111">
        <v>46059</v>
      </c>
    </row>
    <row r="10" spans="1:15" x14ac:dyDescent="0.3">
      <c r="A10" s="49">
        <v>46063</v>
      </c>
      <c r="B10" s="50" t="s">
        <v>3</v>
      </c>
      <c r="C10" s="101">
        <v>24000</v>
      </c>
      <c r="D10" s="101">
        <v>12000</v>
      </c>
      <c r="E10" s="78">
        <v>12000</v>
      </c>
      <c r="F10" s="50" t="s">
        <v>113</v>
      </c>
      <c r="G10" s="10"/>
      <c r="H10" s="108"/>
      <c r="I10" s="49">
        <v>46041</v>
      </c>
      <c r="J10" s="50" t="s">
        <v>2</v>
      </c>
      <c r="K10" s="51">
        <v>8440</v>
      </c>
      <c r="L10" s="51">
        <v>7040</v>
      </c>
      <c r="M10" s="51">
        <v>1400</v>
      </c>
      <c r="N10" s="50" t="s">
        <v>99</v>
      </c>
      <c r="O10" s="45"/>
    </row>
    <row r="11" spans="1:15" x14ac:dyDescent="0.3">
      <c r="A11" s="41">
        <v>46072</v>
      </c>
      <c r="B11" s="42" t="s">
        <v>3</v>
      </c>
      <c r="C11" s="100">
        <v>1400</v>
      </c>
      <c r="D11" s="100">
        <v>1400</v>
      </c>
      <c r="E11" s="53"/>
      <c r="F11" s="42" t="s">
        <v>128</v>
      </c>
      <c r="G11" s="10"/>
      <c r="H11" s="108"/>
      <c r="I11" s="49">
        <v>46042</v>
      </c>
      <c r="J11" s="50" t="s">
        <v>2</v>
      </c>
      <c r="K11" s="51">
        <v>7700</v>
      </c>
      <c r="L11" s="51">
        <v>6160</v>
      </c>
      <c r="M11" s="51">
        <v>1540</v>
      </c>
      <c r="N11" s="50" t="s">
        <v>46</v>
      </c>
      <c r="O11" s="45"/>
    </row>
    <row r="12" spans="1:15" x14ac:dyDescent="0.3">
      <c r="A12" s="41">
        <v>46073</v>
      </c>
      <c r="B12" s="42" t="s">
        <v>3</v>
      </c>
      <c r="C12" s="100">
        <v>1800</v>
      </c>
      <c r="D12" s="100">
        <v>1800</v>
      </c>
      <c r="E12" s="53"/>
      <c r="F12" s="42" t="s">
        <v>114</v>
      </c>
      <c r="G12" s="35"/>
      <c r="H12" s="108"/>
      <c r="I12" s="45"/>
      <c r="J12" s="45"/>
      <c r="K12" s="45"/>
      <c r="L12" s="45"/>
      <c r="M12" s="112">
        <v>4788</v>
      </c>
      <c r="N12" s="45"/>
      <c r="O12" s="45"/>
    </row>
    <row r="13" spans="1:15" x14ac:dyDescent="0.3">
      <c r="A13" s="41">
        <v>46076</v>
      </c>
      <c r="B13" s="42" t="s">
        <v>87</v>
      </c>
      <c r="C13" s="100">
        <v>108</v>
      </c>
      <c r="D13" s="100">
        <v>108</v>
      </c>
      <c r="E13" s="53"/>
      <c r="F13" s="42" t="s">
        <v>115</v>
      </c>
      <c r="G13" s="10"/>
      <c r="H13" s="108"/>
      <c r="I13" s="27"/>
      <c r="J13" s="12"/>
      <c r="K13" s="12"/>
      <c r="L13" s="37"/>
      <c r="M13" s="12"/>
      <c r="N13" s="15"/>
      <c r="O13"/>
    </row>
    <row r="14" spans="1:15" x14ac:dyDescent="0.3">
      <c r="A14" s="41">
        <v>46076</v>
      </c>
      <c r="B14" s="42" t="s">
        <v>87</v>
      </c>
      <c r="C14" s="100">
        <v>68</v>
      </c>
      <c r="D14" s="100">
        <v>68</v>
      </c>
      <c r="E14" s="53"/>
      <c r="F14" s="42" t="s">
        <v>115</v>
      </c>
      <c r="G14" s="35"/>
      <c r="H14" s="108"/>
      <c r="I14" s="15"/>
      <c r="J14" s="38"/>
      <c r="K14" s="38"/>
      <c r="L14" s="38"/>
      <c r="M14" s="38"/>
      <c r="N14" s="15"/>
      <c r="O14"/>
    </row>
    <row r="15" spans="1:15" x14ac:dyDescent="0.3">
      <c r="A15" s="41">
        <v>46077</v>
      </c>
      <c r="B15" s="42" t="s">
        <v>3</v>
      </c>
      <c r="C15" s="100">
        <v>3250</v>
      </c>
      <c r="D15" s="100">
        <v>3250</v>
      </c>
      <c r="E15" s="53"/>
      <c r="F15" s="42" t="s">
        <v>116</v>
      </c>
      <c r="G15" s="31"/>
      <c r="H15" s="108"/>
      <c r="I15" s="15"/>
      <c r="J15" s="15"/>
      <c r="K15" s="15"/>
      <c r="L15" s="15"/>
      <c r="M15" s="15"/>
      <c r="N15" s="15"/>
      <c r="O15"/>
    </row>
    <row r="16" spans="1:15" x14ac:dyDescent="0.3">
      <c r="A16" s="41">
        <v>46077</v>
      </c>
      <c r="B16" s="42" t="s">
        <v>87</v>
      </c>
      <c r="C16" s="100">
        <v>55</v>
      </c>
      <c r="D16" s="100">
        <v>55</v>
      </c>
      <c r="E16" s="53"/>
      <c r="F16" s="42" t="s">
        <v>115</v>
      </c>
      <c r="G16" s="31"/>
      <c r="H16" s="108"/>
      <c r="I16" s="15"/>
      <c r="J16" s="12"/>
      <c r="K16" s="15"/>
      <c r="L16" s="15"/>
      <c r="M16" s="15"/>
      <c r="N16" s="15"/>
      <c r="O16" s="15"/>
    </row>
    <row r="17" spans="1:15" x14ac:dyDescent="0.3">
      <c r="A17" s="41">
        <v>46078</v>
      </c>
      <c r="B17" s="42" t="s">
        <v>123</v>
      </c>
      <c r="C17" s="100">
        <v>5200</v>
      </c>
      <c r="D17" s="100">
        <v>5200</v>
      </c>
      <c r="E17" s="53"/>
      <c r="F17" s="42" t="s">
        <v>129</v>
      </c>
      <c r="G17" s="10"/>
      <c r="H17" s="108"/>
      <c r="I17" s="37"/>
      <c r="J17" s="12"/>
      <c r="K17" s="15"/>
      <c r="L17" s="37"/>
      <c r="M17" s="38"/>
      <c r="N17" s="22"/>
      <c r="O17" s="15"/>
    </row>
    <row r="18" spans="1:15" x14ac:dyDescent="0.3">
      <c r="A18" s="102">
        <v>46078</v>
      </c>
      <c r="B18" s="99" t="s">
        <v>3</v>
      </c>
      <c r="C18" s="103">
        <v>3200</v>
      </c>
      <c r="D18" s="103">
        <v>3200</v>
      </c>
      <c r="E18" s="78"/>
      <c r="F18" s="99" t="s">
        <v>130</v>
      </c>
      <c r="G18" s="36"/>
      <c r="H18" s="108"/>
      <c r="M18" s="3"/>
      <c r="N18" s="13"/>
    </row>
    <row r="19" spans="1:15" x14ac:dyDescent="0.3">
      <c r="A19" s="102">
        <v>46079</v>
      </c>
      <c r="B19" s="99" t="s">
        <v>2</v>
      </c>
      <c r="C19" s="103">
        <v>9710</v>
      </c>
      <c r="D19" s="103">
        <v>9710</v>
      </c>
      <c r="E19" s="78"/>
      <c r="F19" s="99" t="s">
        <v>77</v>
      </c>
      <c r="G19" s="36"/>
      <c r="H19" s="108"/>
    </row>
    <row r="20" spans="1:15" x14ac:dyDescent="0.3">
      <c r="A20" s="41">
        <v>46079</v>
      </c>
      <c r="B20" s="42" t="s">
        <v>3</v>
      </c>
      <c r="C20" s="100">
        <v>2000</v>
      </c>
      <c r="D20" s="100">
        <v>2000</v>
      </c>
      <c r="E20" s="53"/>
      <c r="F20" s="42" t="s">
        <v>98</v>
      </c>
      <c r="G20" s="36"/>
      <c r="H20" s="108"/>
      <c r="I20" s="13"/>
    </row>
    <row r="21" spans="1:15" x14ac:dyDescent="0.3">
      <c r="A21" s="41">
        <v>46080</v>
      </c>
      <c r="B21" s="42" t="s">
        <v>3</v>
      </c>
      <c r="C21" s="100">
        <v>6000</v>
      </c>
      <c r="D21" s="100">
        <v>8000</v>
      </c>
      <c r="E21" s="53"/>
      <c r="F21" s="42" t="s">
        <v>98</v>
      </c>
      <c r="G21" s="36"/>
      <c r="H21" s="108"/>
      <c r="I21" s="13"/>
    </row>
    <row r="22" spans="1:15" x14ac:dyDescent="0.3">
      <c r="A22" s="6"/>
      <c r="B22" s="6"/>
      <c r="C22" s="7">
        <f>SUM(C5:C21)</f>
        <v>105281</v>
      </c>
      <c r="D22" s="7">
        <f>SUM(D5:D21)</f>
        <v>95281</v>
      </c>
      <c r="E22" s="7">
        <f>SUM(E5:E21)</f>
        <v>12000</v>
      </c>
      <c r="F22" s="7"/>
      <c r="G22" s="7"/>
      <c r="H22" s="108"/>
    </row>
    <row r="23" spans="1:15" x14ac:dyDescent="0.3">
      <c r="A23" s="28"/>
      <c r="H23" s="108"/>
    </row>
    <row r="24" spans="1:15" x14ac:dyDescent="0.3">
      <c r="A24" s="28"/>
      <c r="H24" s="108"/>
    </row>
    <row r="25" spans="1:15" ht="15.6" x14ac:dyDescent="0.3">
      <c r="A25" s="113" t="s">
        <v>252</v>
      </c>
      <c r="B25" s="113"/>
      <c r="C25" s="113"/>
      <c r="D25" s="113"/>
      <c r="E25" s="113"/>
      <c r="F25" s="113"/>
      <c r="G25" s="113"/>
      <c r="H25" s="108"/>
    </row>
    <row r="26" spans="1:15" x14ac:dyDescent="0.3">
      <c r="A26" s="6" t="s">
        <v>0</v>
      </c>
      <c r="B26" s="6" t="s">
        <v>1</v>
      </c>
      <c r="C26" s="7" t="s">
        <v>4</v>
      </c>
      <c r="D26" s="7" t="s">
        <v>12</v>
      </c>
      <c r="E26" s="6"/>
      <c r="F26" s="6"/>
      <c r="G26" s="6"/>
      <c r="H26" s="108"/>
    </row>
    <row r="27" spans="1:15" x14ac:dyDescent="0.3">
      <c r="A27" s="41">
        <v>46055</v>
      </c>
      <c r="B27" s="42" t="s">
        <v>24</v>
      </c>
      <c r="C27" s="77">
        <v>1000</v>
      </c>
      <c r="D27" s="15"/>
      <c r="E27" s="15"/>
      <c r="F27" s="22"/>
      <c r="G27" s="21"/>
      <c r="H27" s="108"/>
    </row>
    <row r="28" spans="1:15" x14ac:dyDescent="0.3">
      <c r="A28" s="41">
        <v>46057</v>
      </c>
      <c r="B28" s="42" t="s">
        <v>24</v>
      </c>
      <c r="C28" s="77">
        <v>1000</v>
      </c>
      <c r="D28" s="15"/>
      <c r="E28" s="15"/>
      <c r="F28" s="22"/>
      <c r="G28" s="21"/>
      <c r="H28" s="108"/>
    </row>
    <row r="29" spans="1:15" x14ac:dyDescent="0.3">
      <c r="A29" s="41">
        <v>46057</v>
      </c>
      <c r="B29" s="42" t="s">
        <v>24</v>
      </c>
      <c r="C29" s="77">
        <v>1000</v>
      </c>
      <c r="D29" s="15"/>
      <c r="E29" s="15"/>
      <c r="F29" s="22"/>
      <c r="G29" s="21"/>
      <c r="H29" s="108"/>
    </row>
    <row r="30" spans="1:15" x14ac:dyDescent="0.3">
      <c r="A30" s="41">
        <v>46059</v>
      </c>
      <c r="B30" s="42" t="s">
        <v>24</v>
      </c>
      <c r="C30" s="77">
        <v>1000</v>
      </c>
      <c r="D30" s="15"/>
      <c r="E30" s="15"/>
      <c r="F30" s="22"/>
      <c r="G30" s="21"/>
      <c r="H30" s="108"/>
    </row>
    <row r="31" spans="1:15" x14ac:dyDescent="0.3">
      <c r="A31" s="41">
        <v>46057</v>
      </c>
      <c r="B31" s="42" t="s">
        <v>24</v>
      </c>
      <c r="C31" s="77">
        <v>1000</v>
      </c>
      <c r="D31" s="15"/>
      <c r="E31" s="15"/>
      <c r="F31" s="22"/>
      <c r="G31" s="21"/>
      <c r="H31" s="108"/>
    </row>
    <row r="32" spans="1:15" x14ac:dyDescent="0.3">
      <c r="A32" s="49">
        <v>46063</v>
      </c>
      <c r="B32" s="42" t="s">
        <v>24</v>
      </c>
      <c r="C32" s="77">
        <v>1000</v>
      </c>
      <c r="D32" s="15"/>
      <c r="E32" s="15"/>
      <c r="F32" s="22"/>
      <c r="G32" s="21"/>
      <c r="H32" s="108"/>
    </row>
    <row r="33" spans="1:8" x14ac:dyDescent="0.3">
      <c r="A33" s="41">
        <v>46072</v>
      </c>
      <c r="B33" s="42" t="s">
        <v>24</v>
      </c>
      <c r="C33" s="77">
        <v>1000</v>
      </c>
      <c r="D33" s="15"/>
      <c r="E33" s="15"/>
      <c r="F33" s="22"/>
      <c r="G33" s="21"/>
      <c r="H33" s="108"/>
    </row>
    <row r="34" spans="1:8" x14ac:dyDescent="0.3">
      <c r="A34" s="41">
        <v>46073</v>
      </c>
      <c r="B34" s="42" t="s">
        <v>24</v>
      </c>
      <c r="C34" s="77">
        <v>1000</v>
      </c>
      <c r="D34" s="15"/>
      <c r="E34" s="15"/>
      <c r="F34" s="22"/>
      <c r="G34" s="21"/>
      <c r="H34" s="108"/>
    </row>
    <row r="35" spans="1:8" x14ac:dyDescent="0.3">
      <c r="A35" s="41">
        <v>46076</v>
      </c>
      <c r="B35" s="42" t="s">
        <v>24</v>
      </c>
      <c r="C35" s="77">
        <v>1000</v>
      </c>
      <c r="D35" s="15"/>
      <c r="E35" s="15"/>
      <c r="F35" s="22"/>
      <c r="G35" s="21"/>
      <c r="H35" s="108"/>
    </row>
    <row r="36" spans="1:8" x14ac:dyDescent="0.3">
      <c r="A36" s="41">
        <v>46076</v>
      </c>
      <c r="B36" s="42" t="s">
        <v>24</v>
      </c>
      <c r="C36" s="77">
        <v>1000</v>
      </c>
      <c r="D36" s="15"/>
      <c r="E36" s="15"/>
      <c r="F36" s="22"/>
      <c r="G36" s="21"/>
      <c r="H36" s="108"/>
    </row>
    <row r="37" spans="1:8" x14ac:dyDescent="0.3">
      <c r="A37" s="41">
        <v>46077</v>
      </c>
      <c r="B37" s="42" t="s">
        <v>24</v>
      </c>
      <c r="C37" s="77">
        <v>1000</v>
      </c>
      <c r="D37" s="15"/>
      <c r="E37" s="15"/>
      <c r="F37" s="22"/>
      <c r="G37" s="21"/>
      <c r="H37" s="108"/>
    </row>
    <row r="38" spans="1:8" x14ac:dyDescent="0.3">
      <c r="A38" s="41">
        <v>46077</v>
      </c>
      <c r="B38" s="42" t="s">
        <v>24</v>
      </c>
      <c r="C38" s="77">
        <v>1000</v>
      </c>
      <c r="D38" s="15"/>
      <c r="E38" s="15"/>
      <c r="F38" s="22"/>
      <c r="G38" s="21"/>
      <c r="H38" s="108"/>
    </row>
    <row r="39" spans="1:8" x14ac:dyDescent="0.3">
      <c r="A39" s="41">
        <v>46078</v>
      </c>
      <c r="B39" s="42" t="s">
        <v>24</v>
      </c>
      <c r="C39" s="77">
        <v>1000</v>
      </c>
      <c r="D39" s="15"/>
      <c r="E39" s="15"/>
      <c r="F39" s="22"/>
      <c r="G39" s="21"/>
      <c r="H39" s="108"/>
    </row>
    <row r="40" spans="1:8" x14ac:dyDescent="0.3">
      <c r="A40" s="49">
        <v>46078</v>
      </c>
      <c r="B40" s="42" t="s">
        <v>24</v>
      </c>
      <c r="C40" s="77">
        <v>1000</v>
      </c>
      <c r="D40" s="15"/>
      <c r="E40" s="15"/>
      <c r="F40" s="22"/>
      <c r="G40" s="21"/>
      <c r="H40" s="108"/>
    </row>
    <row r="41" spans="1:8" x14ac:dyDescent="0.3">
      <c r="A41" s="49">
        <v>46079</v>
      </c>
      <c r="B41" s="42" t="s">
        <v>24</v>
      </c>
      <c r="C41" s="77">
        <v>1000</v>
      </c>
      <c r="D41" s="15"/>
      <c r="E41" s="15"/>
      <c r="F41" s="22"/>
      <c r="G41" s="21"/>
      <c r="H41" s="108"/>
    </row>
    <row r="42" spans="1:8" x14ac:dyDescent="0.3">
      <c r="A42" s="41">
        <v>46079</v>
      </c>
      <c r="B42" s="42" t="s">
        <v>24</v>
      </c>
      <c r="C42" s="77">
        <v>1000</v>
      </c>
      <c r="D42" s="15"/>
      <c r="E42" s="15"/>
      <c r="F42" s="22"/>
      <c r="G42" s="21"/>
      <c r="H42" s="108"/>
    </row>
    <row r="43" spans="1:8" x14ac:dyDescent="0.3">
      <c r="A43" s="41">
        <v>46080</v>
      </c>
      <c r="B43" s="42" t="s">
        <v>24</v>
      </c>
      <c r="C43" s="77">
        <v>1000</v>
      </c>
      <c r="H43" s="108"/>
    </row>
    <row r="44" spans="1:8" x14ac:dyDescent="0.3">
      <c r="A44" s="6"/>
      <c r="B44" s="6"/>
      <c r="C44" s="7">
        <f>SUM(C27:C43)</f>
        <v>17000</v>
      </c>
      <c r="D44" s="7"/>
      <c r="E44" s="7"/>
      <c r="F44" s="7"/>
      <c r="G44" s="7"/>
      <c r="H44" s="108"/>
    </row>
    <row r="45" spans="1:8" x14ac:dyDescent="0.3">
      <c r="A45" s="28"/>
      <c r="H45" s="108"/>
    </row>
    <row r="46" spans="1:8" ht="15.6" x14ac:dyDescent="0.3">
      <c r="A46" s="113" t="s">
        <v>252</v>
      </c>
      <c r="B46" s="113"/>
      <c r="C46" s="113"/>
      <c r="D46" s="113"/>
      <c r="E46" s="113"/>
      <c r="F46" s="113"/>
      <c r="G46" s="113"/>
      <c r="H46" s="108"/>
    </row>
    <row r="47" spans="1:8" x14ac:dyDescent="0.3">
      <c r="A47" s="6" t="s">
        <v>0</v>
      </c>
      <c r="B47" s="6" t="s">
        <v>1</v>
      </c>
      <c r="C47" s="7" t="s">
        <v>4</v>
      </c>
      <c r="D47" s="7" t="s">
        <v>12</v>
      </c>
      <c r="E47" s="6"/>
      <c r="F47" s="6"/>
      <c r="G47" s="6"/>
      <c r="H47" s="108"/>
    </row>
    <row r="48" spans="1:8" x14ac:dyDescent="0.3">
      <c r="A48" s="41">
        <v>46055</v>
      </c>
      <c r="B48" s="42" t="s">
        <v>251</v>
      </c>
      <c r="C48" s="77">
        <v>110</v>
      </c>
      <c r="D48" s="15"/>
      <c r="E48" s="15"/>
      <c r="F48" s="22"/>
      <c r="G48" s="21"/>
      <c r="H48" s="108"/>
    </row>
    <row r="49" spans="1:8" x14ac:dyDescent="0.3">
      <c r="A49" s="41">
        <v>46057</v>
      </c>
      <c r="B49" s="42" t="s">
        <v>251</v>
      </c>
      <c r="C49" s="77">
        <v>110</v>
      </c>
      <c r="D49" s="15"/>
      <c r="E49" s="15"/>
      <c r="F49" s="22"/>
      <c r="G49" s="21"/>
      <c r="H49" s="108"/>
    </row>
    <row r="50" spans="1:8" x14ac:dyDescent="0.3">
      <c r="A50" s="41">
        <v>46057</v>
      </c>
      <c r="B50" s="42" t="s">
        <v>251</v>
      </c>
      <c r="C50" s="77">
        <v>110</v>
      </c>
      <c r="D50" s="15"/>
      <c r="E50" s="15"/>
      <c r="F50" s="22"/>
      <c r="G50" s="21"/>
      <c r="H50" s="108"/>
    </row>
    <row r="51" spans="1:8" x14ac:dyDescent="0.3">
      <c r="A51" s="41">
        <v>46059</v>
      </c>
      <c r="B51" s="42" t="s">
        <v>251</v>
      </c>
      <c r="C51" s="77">
        <v>110</v>
      </c>
      <c r="D51" s="15"/>
      <c r="E51" s="15"/>
      <c r="F51" s="22"/>
      <c r="G51" s="21"/>
      <c r="H51" s="108"/>
    </row>
    <row r="52" spans="1:8" x14ac:dyDescent="0.3">
      <c r="A52" s="41">
        <v>46057</v>
      </c>
      <c r="B52" s="42" t="s">
        <v>251</v>
      </c>
      <c r="C52" s="77">
        <v>110</v>
      </c>
      <c r="D52" s="15"/>
      <c r="E52" s="15"/>
      <c r="F52" s="22"/>
      <c r="G52" s="21"/>
      <c r="H52" s="108"/>
    </row>
    <row r="53" spans="1:8" x14ac:dyDescent="0.3">
      <c r="A53" s="49">
        <v>46063</v>
      </c>
      <c r="B53" s="42" t="s">
        <v>251</v>
      </c>
      <c r="C53" s="77">
        <v>110</v>
      </c>
      <c r="D53" s="15"/>
      <c r="E53" s="15"/>
      <c r="F53" s="22"/>
      <c r="G53" s="21"/>
      <c r="H53" s="108"/>
    </row>
    <row r="54" spans="1:8" x14ac:dyDescent="0.3">
      <c r="A54" s="41">
        <v>46072</v>
      </c>
      <c r="B54" s="42" t="s">
        <v>251</v>
      </c>
      <c r="C54" s="77">
        <v>110</v>
      </c>
      <c r="D54" s="15"/>
      <c r="E54" s="15"/>
      <c r="F54" s="22"/>
      <c r="G54" s="21"/>
      <c r="H54" s="108"/>
    </row>
    <row r="55" spans="1:8" x14ac:dyDescent="0.3">
      <c r="A55" s="41">
        <v>46073</v>
      </c>
      <c r="B55" s="42" t="s">
        <v>251</v>
      </c>
      <c r="C55" s="77">
        <v>110</v>
      </c>
      <c r="D55" s="15"/>
      <c r="E55" s="15"/>
      <c r="F55" s="22"/>
      <c r="G55" s="21"/>
      <c r="H55" s="108"/>
    </row>
    <row r="56" spans="1:8" x14ac:dyDescent="0.3">
      <c r="A56" s="41">
        <v>46076</v>
      </c>
      <c r="B56" s="42" t="s">
        <v>251</v>
      </c>
      <c r="C56" s="77">
        <v>110</v>
      </c>
      <c r="D56" s="15"/>
      <c r="E56" s="15"/>
      <c r="F56" s="22"/>
      <c r="G56" s="21"/>
      <c r="H56" s="108"/>
    </row>
    <row r="57" spans="1:8" x14ac:dyDescent="0.3">
      <c r="A57" s="41">
        <v>46076</v>
      </c>
      <c r="B57" s="42" t="s">
        <v>251</v>
      </c>
      <c r="C57" s="77">
        <v>110</v>
      </c>
      <c r="D57" s="15"/>
      <c r="E57" s="15"/>
      <c r="F57" s="22"/>
      <c r="G57" s="21"/>
      <c r="H57" s="108"/>
    </row>
    <row r="58" spans="1:8" x14ac:dyDescent="0.3">
      <c r="A58" s="41">
        <v>46077</v>
      </c>
      <c r="B58" s="42" t="s">
        <v>251</v>
      </c>
      <c r="C58" s="77">
        <v>110</v>
      </c>
      <c r="D58" s="15"/>
      <c r="E58" s="15"/>
      <c r="F58" s="22"/>
      <c r="G58" s="21"/>
      <c r="H58" s="108"/>
    </row>
    <row r="59" spans="1:8" x14ac:dyDescent="0.3">
      <c r="A59" s="41">
        <v>46077</v>
      </c>
      <c r="B59" s="42" t="s">
        <v>251</v>
      </c>
      <c r="C59" s="77">
        <v>110</v>
      </c>
      <c r="D59" s="15"/>
      <c r="E59" s="15"/>
      <c r="F59" s="22"/>
      <c r="G59" s="21"/>
      <c r="H59" s="108"/>
    </row>
    <row r="60" spans="1:8" x14ac:dyDescent="0.3">
      <c r="A60" s="41">
        <v>46078</v>
      </c>
      <c r="B60" s="42" t="s">
        <v>251</v>
      </c>
      <c r="C60" s="77">
        <v>110</v>
      </c>
      <c r="D60" s="15"/>
      <c r="E60" s="15"/>
      <c r="F60" s="22"/>
      <c r="G60" s="21"/>
      <c r="H60" s="108"/>
    </row>
    <row r="61" spans="1:8" x14ac:dyDescent="0.3">
      <c r="A61" s="49">
        <v>46078</v>
      </c>
      <c r="B61" s="42" t="s">
        <v>251</v>
      </c>
      <c r="C61" s="77">
        <v>110</v>
      </c>
      <c r="D61" s="15"/>
      <c r="E61" s="15"/>
      <c r="F61" s="22"/>
      <c r="G61" s="21"/>
      <c r="H61" s="108"/>
    </row>
    <row r="62" spans="1:8" x14ac:dyDescent="0.3">
      <c r="A62" s="49">
        <v>46079</v>
      </c>
      <c r="B62" s="42" t="s">
        <v>251</v>
      </c>
      <c r="C62" s="77">
        <v>110</v>
      </c>
      <c r="D62" s="15"/>
      <c r="E62" s="15"/>
      <c r="F62" s="22"/>
      <c r="G62" s="21"/>
      <c r="H62" s="108"/>
    </row>
    <row r="63" spans="1:8" x14ac:dyDescent="0.3">
      <c r="A63" s="41">
        <v>46079</v>
      </c>
      <c r="B63" s="42" t="s">
        <v>251</v>
      </c>
      <c r="C63" s="77">
        <v>110</v>
      </c>
      <c r="D63" s="15"/>
      <c r="E63" s="15"/>
      <c r="F63" s="22"/>
      <c r="G63" s="21"/>
      <c r="H63" s="108"/>
    </row>
    <row r="64" spans="1:8" x14ac:dyDescent="0.3">
      <c r="A64" s="41">
        <v>46080</v>
      </c>
      <c r="B64" s="42" t="s">
        <v>251</v>
      </c>
      <c r="C64" s="77">
        <v>110</v>
      </c>
      <c r="H64" s="108"/>
    </row>
    <row r="65" spans="1:10" x14ac:dyDescent="0.3">
      <c r="A65" s="6"/>
      <c r="B65" s="6"/>
      <c r="C65" s="7">
        <f>SUM(C48:C64)</f>
        <v>1870</v>
      </c>
      <c r="D65" s="7"/>
      <c r="E65" s="7"/>
      <c r="F65" s="7"/>
      <c r="G65" s="7"/>
      <c r="H65" s="108"/>
    </row>
    <row r="66" spans="1:10" x14ac:dyDescent="0.3">
      <c r="A66" s="97"/>
      <c r="B66" s="97"/>
      <c r="C66" s="96"/>
      <c r="D66" s="96"/>
      <c r="E66" s="96"/>
      <c r="F66" s="96"/>
      <c r="G66" s="96"/>
      <c r="H66" s="108"/>
      <c r="J66" s="9"/>
    </row>
    <row r="67" spans="1:10" ht="15.6" x14ac:dyDescent="0.3">
      <c r="A67" s="113" t="s">
        <v>32</v>
      </c>
      <c r="B67" s="113"/>
      <c r="C67" s="113"/>
      <c r="D67" s="113"/>
      <c r="E67" s="113"/>
      <c r="F67" s="113"/>
      <c r="G67" s="113"/>
      <c r="H67" s="108"/>
    </row>
    <row r="68" spans="1:10" x14ac:dyDescent="0.3">
      <c r="A68" s="6" t="s">
        <v>0</v>
      </c>
      <c r="B68" s="6" t="s">
        <v>1</v>
      </c>
      <c r="C68" s="7" t="s">
        <v>4</v>
      </c>
      <c r="D68" s="7" t="s">
        <v>11</v>
      </c>
      <c r="E68" s="7"/>
      <c r="F68" s="7"/>
      <c r="G68" s="7"/>
      <c r="H68" s="108"/>
      <c r="J68" s="30"/>
    </row>
    <row r="69" spans="1:10" x14ac:dyDescent="0.3">
      <c r="A69" s="41">
        <v>46079</v>
      </c>
      <c r="B69" s="42" t="s">
        <v>230</v>
      </c>
      <c r="C69" s="44">
        <v>1798.4</v>
      </c>
      <c r="D69" s="42" t="s">
        <v>81</v>
      </c>
      <c r="H69" s="108"/>
    </row>
    <row r="70" spans="1:10" x14ac:dyDescent="0.3">
      <c r="A70" s="28"/>
      <c r="C70" s="9"/>
      <c r="H70" s="108"/>
    </row>
    <row r="71" spans="1:10" x14ac:dyDescent="0.3">
      <c r="A71" s="28"/>
      <c r="C71" s="9"/>
      <c r="H71" s="108"/>
    </row>
    <row r="72" spans="1:10" x14ac:dyDescent="0.3">
      <c r="A72" s="28"/>
      <c r="C72" s="9"/>
      <c r="H72" s="108"/>
    </row>
    <row r="73" spans="1:10" x14ac:dyDescent="0.3">
      <c r="A73" s="28"/>
      <c r="C73" s="9"/>
      <c r="H73" s="108"/>
    </row>
    <row r="74" spans="1:10" x14ac:dyDescent="0.3">
      <c r="A74" s="28"/>
      <c r="C74" s="9"/>
      <c r="H74" s="108"/>
    </row>
    <row r="75" spans="1:10" x14ac:dyDescent="0.3">
      <c r="A75" s="28"/>
      <c r="C75" s="9"/>
      <c r="H75" s="108"/>
    </row>
    <row r="76" spans="1:10" x14ac:dyDescent="0.3">
      <c r="A76" s="6"/>
      <c r="B76" s="6"/>
      <c r="C76" s="7">
        <f>SUM(C68:C75)</f>
        <v>1798.4</v>
      </c>
      <c r="D76" s="7"/>
      <c r="E76" s="7"/>
      <c r="F76" s="7"/>
      <c r="G76" s="7"/>
      <c r="H76" s="108"/>
    </row>
    <row r="77" spans="1:10" x14ac:dyDescent="0.3">
      <c r="A77" s="28"/>
      <c r="H77" s="108"/>
    </row>
    <row r="78" spans="1:10" ht="15.6" x14ac:dyDescent="0.3">
      <c r="A78" s="113" t="s">
        <v>22</v>
      </c>
      <c r="B78" s="113"/>
      <c r="C78" s="113"/>
      <c r="D78" s="113"/>
      <c r="E78" s="113"/>
      <c r="F78" s="113"/>
      <c r="G78" s="113"/>
      <c r="H78" s="108"/>
    </row>
    <row r="79" spans="1:10" x14ac:dyDescent="0.3">
      <c r="A79" s="6" t="s">
        <v>0</v>
      </c>
      <c r="B79" s="6" t="s">
        <v>1</v>
      </c>
      <c r="C79" s="7" t="s">
        <v>4</v>
      </c>
      <c r="D79" s="7" t="s">
        <v>11</v>
      </c>
      <c r="E79" s="7"/>
      <c r="F79" s="7"/>
      <c r="G79" s="7"/>
      <c r="H79" s="108"/>
    </row>
    <row r="80" spans="1:10" x14ac:dyDescent="0.3">
      <c r="A80" s="41">
        <v>46062</v>
      </c>
      <c r="B80" s="42" t="s">
        <v>231</v>
      </c>
      <c r="C80" s="44">
        <v>2480</v>
      </c>
      <c r="D80" s="42" t="s">
        <v>81</v>
      </c>
      <c r="H80" s="108"/>
    </row>
    <row r="81" spans="1:8" x14ac:dyDescent="0.3">
      <c r="A81" s="41">
        <v>46071</v>
      </c>
      <c r="B81" s="42" t="s">
        <v>231</v>
      </c>
      <c r="C81" s="42">
        <v>598</v>
      </c>
      <c r="D81" s="42" t="s">
        <v>81</v>
      </c>
      <c r="H81" s="108"/>
    </row>
    <row r="82" spans="1:8" x14ac:dyDescent="0.3">
      <c r="A82" s="28"/>
      <c r="H82" s="108"/>
    </row>
    <row r="83" spans="1:8" x14ac:dyDescent="0.3">
      <c r="A83" s="28"/>
      <c r="H83" s="108"/>
    </row>
    <row r="84" spans="1:8" x14ac:dyDescent="0.3">
      <c r="A84" s="28"/>
      <c r="H84" s="108"/>
    </row>
    <row r="85" spans="1:8" x14ac:dyDescent="0.3">
      <c r="A85" s="28"/>
      <c r="H85" s="108"/>
    </row>
    <row r="86" spans="1:8" x14ac:dyDescent="0.3">
      <c r="A86" s="28"/>
      <c r="H86" s="108"/>
    </row>
    <row r="87" spans="1:8" x14ac:dyDescent="0.3">
      <c r="A87" s="6"/>
      <c r="B87" s="6"/>
      <c r="C87" s="7">
        <f>SUM(C80:C86)</f>
        <v>3078</v>
      </c>
      <c r="D87" s="7"/>
      <c r="E87" s="7"/>
      <c r="F87" s="7"/>
      <c r="G87" s="7"/>
      <c r="H87" s="108"/>
    </row>
    <row r="88" spans="1:8" x14ac:dyDescent="0.3">
      <c r="A88" s="28"/>
      <c r="C88" s="5"/>
      <c r="H88" s="108"/>
    </row>
    <row r="89" spans="1:8" ht="15.6" x14ac:dyDescent="0.3">
      <c r="A89" s="113" t="s">
        <v>23</v>
      </c>
      <c r="B89" s="113"/>
      <c r="C89" s="113"/>
      <c r="D89" s="113"/>
      <c r="E89" s="113"/>
      <c r="F89" s="113"/>
      <c r="G89" s="113"/>
      <c r="H89" s="108"/>
    </row>
    <row r="90" spans="1:8" x14ac:dyDescent="0.3">
      <c r="A90" s="6" t="s">
        <v>0</v>
      </c>
      <c r="B90" s="6" t="s">
        <v>1</v>
      </c>
      <c r="C90" s="7" t="s">
        <v>4</v>
      </c>
      <c r="D90" s="7" t="s">
        <v>12</v>
      </c>
      <c r="E90" s="7"/>
      <c r="F90" s="7"/>
      <c r="G90" s="7"/>
      <c r="H90" s="108"/>
    </row>
    <row r="91" spans="1:8" x14ac:dyDescent="0.3">
      <c r="A91" s="28">
        <v>46023</v>
      </c>
      <c r="B91" s="2" t="s">
        <v>5</v>
      </c>
      <c r="C91" s="9">
        <v>2212</v>
      </c>
      <c r="D91" s="2" t="s">
        <v>81</v>
      </c>
      <c r="H91" s="108"/>
    </row>
    <row r="92" spans="1:8" x14ac:dyDescent="0.3">
      <c r="A92" s="28">
        <v>46025</v>
      </c>
      <c r="B92" s="2" t="s">
        <v>36</v>
      </c>
      <c r="C92" s="9">
        <v>1000</v>
      </c>
      <c r="D92" s="2" t="s">
        <v>81</v>
      </c>
      <c r="H92" s="108"/>
    </row>
    <row r="93" spans="1:8" x14ac:dyDescent="0.3">
      <c r="A93" s="28">
        <v>46027</v>
      </c>
      <c r="B93" s="2" t="s">
        <v>19</v>
      </c>
      <c r="C93" s="9">
        <v>1580</v>
      </c>
      <c r="D93" s="2" t="s">
        <v>81</v>
      </c>
      <c r="H93" s="108"/>
    </row>
    <row r="94" spans="1:8" x14ac:dyDescent="0.3">
      <c r="A94" s="27">
        <v>46030</v>
      </c>
      <c r="B94" s="15" t="s">
        <v>33</v>
      </c>
      <c r="C94" s="12">
        <v>153.26</v>
      </c>
      <c r="D94" s="15" t="s">
        <v>81</v>
      </c>
      <c r="H94" s="108"/>
    </row>
    <row r="95" spans="1:8" x14ac:dyDescent="0.3">
      <c r="A95" s="28">
        <v>46032</v>
      </c>
      <c r="B95" s="2" t="s">
        <v>6</v>
      </c>
      <c r="C95" s="9">
        <v>251.55</v>
      </c>
      <c r="D95" s="2" t="s">
        <v>81</v>
      </c>
      <c r="H95" s="108"/>
    </row>
    <row r="96" spans="1:8" x14ac:dyDescent="0.3">
      <c r="A96" s="27">
        <v>46034</v>
      </c>
      <c r="B96" s="15" t="s">
        <v>14</v>
      </c>
      <c r="C96" s="12">
        <v>400</v>
      </c>
      <c r="D96" s="2" t="s">
        <v>81</v>
      </c>
      <c r="H96" s="108"/>
    </row>
    <row r="97" spans="1:10" x14ac:dyDescent="0.3">
      <c r="A97" s="28">
        <v>46037</v>
      </c>
      <c r="B97" s="2" t="s">
        <v>39</v>
      </c>
      <c r="C97" s="9">
        <v>644.28</v>
      </c>
      <c r="D97" s="2" t="s">
        <v>81</v>
      </c>
      <c r="H97" s="108"/>
    </row>
    <row r="98" spans="1:10" x14ac:dyDescent="0.3">
      <c r="A98" s="29">
        <v>46039</v>
      </c>
      <c r="B98" s="23" t="s">
        <v>7</v>
      </c>
      <c r="C98" s="24">
        <v>409.9</v>
      </c>
      <c r="D98" s="23"/>
      <c r="H98" s="108"/>
    </row>
    <row r="99" spans="1:10" x14ac:dyDescent="0.3">
      <c r="A99" s="27">
        <v>46040</v>
      </c>
      <c r="B99" s="15" t="s">
        <v>15</v>
      </c>
      <c r="C99" s="12">
        <v>941.6</v>
      </c>
      <c r="D99" s="15" t="s">
        <v>81</v>
      </c>
      <c r="H99" s="108"/>
    </row>
    <row r="100" spans="1:10" x14ac:dyDescent="0.3">
      <c r="A100" s="27">
        <v>46073</v>
      </c>
      <c r="B100" s="15" t="s">
        <v>18</v>
      </c>
      <c r="C100" s="12"/>
      <c r="D100" s="15" t="s">
        <v>81</v>
      </c>
      <c r="H100" s="108"/>
    </row>
    <row r="101" spans="1:10" x14ac:dyDescent="0.3">
      <c r="A101" s="29">
        <v>46052</v>
      </c>
      <c r="B101" s="23" t="s">
        <v>90</v>
      </c>
      <c r="C101" s="24">
        <v>485.76</v>
      </c>
      <c r="D101" s="23"/>
      <c r="H101" s="108"/>
    </row>
    <row r="102" spans="1:10" x14ac:dyDescent="0.3">
      <c r="A102" s="29">
        <v>46052</v>
      </c>
      <c r="B102" s="23" t="s">
        <v>25</v>
      </c>
      <c r="C102" s="24">
        <v>3000</v>
      </c>
      <c r="D102" s="23"/>
      <c r="H102" s="108"/>
    </row>
    <row r="103" spans="1:10" x14ac:dyDescent="0.3">
      <c r="A103" s="29" t="s">
        <v>242</v>
      </c>
      <c r="B103" s="23" t="s">
        <v>241</v>
      </c>
      <c r="C103" s="24">
        <v>394.46</v>
      </c>
      <c r="D103" s="23"/>
      <c r="H103" s="108"/>
    </row>
    <row r="104" spans="1:10" x14ac:dyDescent="0.3">
      <c r="A104" s="29">
        <v>46052</v>
      </c>
      <c r="B104" s="23" t="s">
        <v>30</v>
      </c>
      <c r="C104" s="24">
        <f>C22*10%</f>
        <v>10528.1</v>
      </c>
      <c r="D104" s="23"/>
      <c r="H104" s="108"/>
    </row>
    <row r="105" spans="1:10" x14ac:dyDescent="0.3">
      <c r="A105" s="6"/>
      <c r="B105" s="6"/>
      <c r="C105" s="7">
        <f>SUM(C91:C104)</f>
        <v>22000.91</v>
      </c>
      <c r="D105" s="6"/>
      <c r="E105" s="6"/>
      <c r="F105" s="6"/>
      <c r="G105" s="6"/>
      <c r="H105" s="108"/>
    </row>
    <row r="106" spans="1:10" x14ac:dyDescent="0.3">
      <c r="A106" s="28"/>
      <c r="H106" s="108"/>
    </row>
    <row r="107" spans="1:10" ht="15.6" x14ac:dyDescent="0.3">
      <c r="A107" s="113" t="s">
        <v>82</v>
      </c>
      <c r="B107" s="113"/>
      <c r="C107" s="113"/>
      <c r="D107" s="113"/>
      <c r="E107" s="113"/>
      <c r="F107" s="113"/>
      <c r="G107" s="113"/>
      <c r="H107" s="108"/>
    </row>
    <row r="108" spans="1:10" x14ac:dyDescent="0.3">
      <c r="A108" s="6" t="s">
        <v>0</v>
      </c>
      <c r="B108" s="6" t="s">
        <v>1</v>
      </c>
      <c r="C108" s="7" t="s">
        <v>4</v>
      </c>
      <c r="D108" s="7" t="s">
        <v>12</v>
      </c>
      <c r="E108" s="6"/>
      <c r="F108" s="6"/>
      <c r="G108" s="6"/>
      <c r="H108" s="108"/>
    </row>
    <row r="109" spans="1:10" x14ac:dyDescent="0.3">
      <c r="A109" s="28">
        <v>46054</v>
      </c>
      <c r="C109" s="9">
        <f>10*350</f>
        <v>3500</v>
      </c>
      <c r="D109" s="2" t="s">
        <v>99</v>
      </c>
      <c r="H109" s="108"/>
    </row>
    <row r="110" spans="1:10" x14ac:dyDescent="0.3">
      <c r="A110" s="28">
        <v>46054</v>
      </c>
      <c r="C110" s="9">
        <f>15*350</f>
        <v>5250</v>
      </c>
      <c r="D110" s="2" t="s">
        <v>47</v>
      </c>
      <c r="H110" s="108"/>
      <c r="J110" s="9"/>
    </row>
    <row r="111" spans="1:10" x14ac:dyDescent="0.3">
      <c r="A111" s="27">
        <v>46054</v>
      </c>
      <c r="B111" s="15"/>
      <c r="C111" s="12">
        <f>10*350</f>
        <v>3500</v>
      </c>
      <c r="D111" s="15" t="s">
        <v>254</v>
      </c>
      <c r="E111" s="23"/>
      <c r="H111" s="108"/>
    </row>
    <row r="112" spans="1:10" x14ac:dyDescent="0.3">
      <c r="A112" s="27">
        <v>46058</v>
      </c>
      <c r="B112" s="15"/>
      <c r="C112" s="12">
        <f>31*350</f>
        <v>10850</v>
      </c>
      <c r="D112" s="15" t="s">
        <v>111</v>
      </c>
      <c r="E112" s="23"/>
      <c r="H112" s="108"/>
    </row>
    <row r="113" spans="1:8" x14ac:dyDescent="0.3">
      <c r="A113" s="6"/>
      <c r="B113" s="6"/>
      <c r="C113" s="7">
        <f>SUM(C109:C112)</f>
        <v>23100</v>
      </c>
      <c r="D113" s="6"/>
      <c r="E113" s="6"/>
      <c r="F113" s="6"/>
      <c r="G113" s="6"/>
      <c r="H113" s="108"/>
    </row>
    <row r="114" spans="1:8" x14ac:dyDescent="0.3">
      <c r="A114" s="28"/>
      <c r="C114" s="16"/>
      <c r="H114" s="108"/>
    </row>
    <row r="115" spans="1:8" x14ac:dyDescent="0.3">
      <c r="A115" s="27"/>
      <c r="B115" s="15"/>
      <c r="C115" s="12"/>
      <c r="D115" s="15"/>
      <c r="E115" s="15"/>
      <c r="F115" s="22"/>
      <c r="G115" s="21"/>
      <c r="H115" s="108"/>
    </row>
    <row r="116" spans="1:8" x14ac:dyDescent="0.3">
      <c r="A116" s="27"/>
      <c r="B116" s="15"/>
      <c r="C116" s="12"/>
      <c r="D116" s="15"/>
      <c r="E116" s="15"/>
      <c r="F116" s="22"/>
      <c r="G116" s="21"/>
      <c r="H116" s="108"/>
    </row>
    <row r="117" spans="1:8" x14ac:dyDescent="0.3">
      <c r="H117" s="108"/>
    </row>
    <row r="118" spans="1:8" x14ac:dyDescent="0.3">
      <c r="B118" s="4"/>
      <c r="C118" s="5"/>
      <c r="D118" s="4"/>
      <c r="H118" s="108"/>
    </row>
    <row r="119" spans="1:8" x14ac:dyDescent="0.3">
      <c r="B119" s="4" t="s">
        <v>26</v>
      </c>
      <c r="C119" s="5">
        <f>C22</f>
        <v>105281</v>
      </c>
      <c r="D119" s="4"/>
      <c r="H119" s="108"/>
    </row>
    <row r="120" spans="1:8" x14ac:dyDescent="0.3">
      <c r="B120" s="4" t="s">
        <v>27</v>
      </c>
      <c r="C120" s="5">
        <f>C44+C65+C76+C87+C105+C113</f>
        <v>68847.31</v>
      </c>
      <c r="H120" s="108"/>
    </row>
    <row r="121" spans="1:8" x14ac:dyDescent="0.3">
      <c r="B121" s="4" t="s">
        <v>28</v>
      </c>
      <c r="C121" s="5">
        <f>C119-C120</f>
        <v>36433.69</v>
      </c>
      <c r="H121" s="108"/>
    </row>
    <row r="122" spans="1:8" ht="15" thickBot="1" x14ac:dyDescent="0.35">
      <c r="B122" s="4" t="s">
        <v>31</v>
      </c>
      <c r="C122" s="5">
        <f>C104+C121</f>
        <v>46961.79</v>
      </c>
      <c r="H122" s="110"/>
    </row>
    <row r="123" spans="1:8" ht="15" thickTop="1" x14ac:dyDescent="0.3"/>
  </sheetData>
  <mergeCells count="9">
    <mergeCell ref="A1:O1"/>
    <mergeCell ref="A89:G89"/>
    <mergeCell ref="A107:G107"/>
    <mergeCell ref="A3:G3"/>
    <mergeCell ref="I3:O3"/>
    <mergeCell ref="A25:G25"/>
    <mergeCell ref="A67:G67"/>
    <mergeCell ref="A78:G78"/>
    <mergeCell ref="A46:G46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1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48B9-8DA3-4C72-AD49-FDA5A97329D8}">
  <dimension ref="A1:O120"/>
  <sheetViews>
    <sheetView showGridLines="0" workbookViewId="0">
      <selection activeCell="M15" sqref="M15"/>
    </sheetView>
  </sheetViews>
  <sheetFormatPr defaultRowHeight="14.4" x14ac:dyDescent="0.3"/>
  <cols>
    <col min="1" max="1" width="10.6640625" style="2" customWidth="1"/>
    <col min="2" max="2" width="15.88671875" style="2" bestFit="1" customWidth="1"/>
    <col min="3" max="3" width="11.44140625" style="3" bestFit="1" customWidth="1"/>
    <col min="4" max="4" width="11.5546875" style="2" bestFit="1" customWidth="1"/>
    <col min="5" max="5" width="11.44140625" style="2" bestFit="1" customWidth="1"/>
    <col min="6" max="6" width="13.33203125" style="3" bestFit="1" customWidth="1"/>
    <col min="7" max="7" width="9.5546875" style="11" bestFit="1" customWidth="1"/>
    <col min="8" max="8" width="4.88671875" customWidth="1"/>
    <col min="9" max="9" width="10.6640625" style="2" bestFit="1" customWidth="1"/>
    <col min="10" max="10" width="12.88671875" style="3" bestFit="1" customWidth="1"/>
    <col min="11" max="11" width="11.44140625" style="2" bestFit="1" customWidth="1"/>
    <col min="12" max="12" width="10.5546875" style="2" bestFit="1" customWidth="1"/>
    <col min="13" max="13" width="10.33203125" style="2" bestFit="1" customWidth="1"/>
    <col min="14" max="14" width="11.44140625" style="2" bestFit="1" customWidth="1"/>
    <col min="15" max="15" width="8.88671875" style="2"/>
  </cols>
  <sheetData>
    <row r="1" spans="1:15" ht="21" customHeight="1" x14ac:dyDescent="0.3">
      <c r="A1" s="114" t="s">
        <v>117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3" spans="1:15" ht="15.6" x14ac:dyDescent="0.3">
      <c r="A3" s="113" t="s">
        <v>26</v>
      </c>
      <c r="B3" s="113"/>
      <c r="C3" s="113"/>
      <c r="D3" s="113"/>
      <c r="E3" s="113"/>
      <c r="F3" s="113"/>
      <c r="G3" s="113"/>
      <c r="I3" s="113" t="s">
        <v>35</v>
      </c>
      <c r="J3" s="113"/>
      <c r="K3" s="113"/>
      <c r="L3" s="113"/>
      <c r="M3" s="113"/>
      <c r="N3" s="113"/>
      <c r="O3" s="113"/>
    </row>
    <row r="4" spans="1:15" x14ac:dyDescent="0.3">
      <c r="A4" s="6" t="s">
        <v>0</v>
      </c>
      <c r="B4" s="6" t="s">
        <v>1</v>
      </c>
      <c r="C4" s="7" t="s">
        <v>4</v>
      </c>
      <c r="D4" s="7" t="s">
        <v>21</v>
      </c>
      <c r="E4" s="7" t="s">
        <v>8</v>
      </c>
      <c r="F4" s="7" t="s">
        <v>16</v>
      </c>
      <c r="G4" s="20" t="s">
        <v>17</v>
      </c>
      <c r="I4" s="6" t="s">
        <v>0</v>
      </c>
      <c r="J4" s="6" t="s">
        <v>1</v>
      </c>
      <c r="K4" s="7" t="s">
        <v>4</v>
      </c>
      <c r="L4" s="7" t="s">
        <v>21</v>
      </c>
      <c r="M4" s="7" t="s">
        <v>8</v>
      </c>
      <c r="N4" s="7" t="s">
        <v>16</v>
      </c>
      <c r="O4" s="7" t="s">
        <v>12</v>
      </c>
    </row>
    <row r="5" spans="1:15" x14ac:dyDescent="0.3">
      <c r="A5" s="68">
        <v>46083</v>
      </c>
      <c r="B5" s="69" t="s">
        <v>3</v>
      </c>
      <c r="C5" s="70">
        <v>2475</v>
      </c>
      <c r="D5" s="70">
        <v>2475</v>
      </c>
      <c r="E5" s="71"/>
      <c r="F5" s="69" t="s">
        <v>134</v>
      </c>
      <c r="G5" s="71"/>
      <c r="I5" s="29">
        <v>45988</v>
      </c>
      <c r="J5" s="23" t="s">
        <v>2</v>
      </c>
      <c r="K5" s="75">
        <v>34240</v>
      </c>
      <c r="L5" s="75">
        <v>32392</v>
      </c>
      <c r="M5" s="75">
        <v>1848</v>
      </c>
      <c r="N5" s="23" t="s">
        <v>13</v>
      </c>
      <c r="O5"/>
    </row>
    <row r="6" spans="1:15" x14ac:dyDescent="0.3">
      <c r="A6" s="68">
        <v>46084</v>
      </c>
      <c r="B6" s="69" t="s">
        <v>3</v>
      </c>
      <c r="C6" s="70">
        <v>2750</v>
      </c>
      <c r="D6" s="70">
        <v>2750</v>
      </c>
      <c r="E6" s="71"/>
      <c r="F6" s="69" t="s">
        <v>135</v>
      </c>
      <c r="G6" s="71"/>
      <c r="I6" s="28">
        <v>46041</v>
      </c>
      <c r="J6" s="2" t="s">
        <v>2</v>
      </c>
      <c r="K6" s="76">
        <v>8440</v>
      </c>
      <c r="L6" s="76">
        <v>8440</v>
      </c>
      <c r="M6" s="2" t="s">
        <v>105</v>
      </c>
      <c r="N6" s="2" t="s">
        <v>99</v>
      </c>
      <c r="O6" s="32">
        <v>46100</v>
      </c>
    </row>
    <row r="7" spans="1:15" x14ac:dyDescent="0.3">
      <c r="A7" s="68">
        <v>46085</v>
      </c>
      <c r="B7" s="69" t="s">
        <v>3</v>
      </c>
      <c r="C7" s="70">
        <v>3375</v>
      </c>
      <c r="D7" s="70">
        <v>3375</v>
      </c>
      <c r="E7" s="71"/>
      <c r="F7" s="69" t="s">
        <v>136</v>
      </c>
      <c r="G7" s="71"/>
      <c r="I7" s="28">
        <v>46042</v>
      </c>
      <c r="J7" s="2" t="s">
        <v>2</v>
      </c>
      <c r="K7" s="76">
        <v>7700</v>
      </c>
      <c r="L7" s="76">
        <v>7700</v>
      </c>
      <c r="M7" s="2" t="s">
        <v>105</v>
      </c>
      <c r="N7" s="2" t="s">
        <v>46</v>
      </c>
      <c r="O7" s="32">
        <v>46105</v>
      </c>
    </row>
    <row r="8" spans="1:15" x14ac:dyDescent="0.3">
      <c r="A8" s="68">
        <v>46086</v>
      </c>
      <c r="B8" s="69" t="s">
        <v>3</v>
      </c>
      <c r="C8" s="70">
        <v>3375</v>
      </c>
      <c r="D8" s="70">
        <v>3375</v>
      </c>
      <c r="E8" s="71"/>
      <c r="F8" s="69" t="s">
        <v>136</v>
      </c>
      <c r="G8" s="71"/>
      <c r="I8" s="29">
        <v>46063</v>
      </c>
      <c r="J8" s="23" t="s">
        <v>3</v>
      </c>
      <c r="K8" s="75">
        <v>24000</v>
      </c>
      <c r="L8" s="75">
        <v>12000</v>
      </c>
      <c r="M8" s="75">
        <v>12000</v>
      </c>
      <c r="N8" s="23" t="s">
        <v>113</v>
      </c>
      <c r="O8"/>
    </row>
    <row r="9" spans="1:15" x14ac:dyDescent="0.3">
      <c r="A9" s="68">
        <v>46087</v>
      </c>
      <c r="B9" s="69" t="s">
        <v>2</v>
      </c>
      <c r="C9" s="70">
        <v>15112</v>
      </c>
      <c r="D9" s="70">
        <v>15112</v>
      </c>
      <c r="E9" s="71"/>
      <c r="F9" s="69" t="s">
        <v>137</v>
      </c>
      <c r="G9" s="71"/>
      <c r="I9" s="28">
        <v>46079</v>
      </c>
      <c r="J9" s="2" t="s">
        <v>2</v>
      </c>
      <c r="K9" s="76">
        <v>9710</v>
      </c>
      <c r="L9" s="76">
        <v>9710</v>
      </c>
      <c r="M9" s="2" t="s">
        <v>105</v>
      </c>
      <c r="N9" s="2" t="s">
        <v>77</v>
      </c>
      <c r="O9" s="2" t="s">
        <v>150</v>
      </c>
    </row>
    <row r="10" spans="1:15" x14ac:dyDescent="0.3">
      <c r="A10" s="68">
        <v>46090</v>
      </c>
      <c r="B10" s="69" t="s">
        <v>3</v>
      </c>
      <c r="C10" s="70">
        <v>2000</v>
      </c>
      <c r="D10" s="70">
        <v>2000</v>
      </c>
      <c r="E10" s="71"/>
      <c r="F10" s="69" t="s">
        <v>138</v>
      </c>
      <c r="G10" s="71"/>
      <c r="I10" s="28">
        <v>46078</v>
      </c>
      <c r="J10" s="2" t="s">
        <v>3</v>
      </c>
      <c r="K10" s="76">
        <v>3200</v>
      </c>
      <c r="L10" s="76">
        <v>3200</v>
      </c>
      <c r="M10"/>
      <c r="N10" s="2" t="s">
        <v>151</v>
      </c>
      <c r="O10" s="2" t="s">
        <v>152</v>
      </c>
    </row>
    <row r="11" spans="1:15" x14ac:dyDescent="0.3">
      <c r="A11" s="68">
        <v>46093</v>
      </c>
      <c r="B11" s="69" t="s">
        <v>3</v>
      </c>
      <c r="C11" s="70">
        <v>2675</v>
      </c>
      <c r="D11" s="70">
        <v>2675</v>
      </c>
      <c r="E11" s="71"/>
      <c r="F11" s="69" t="s">
        <v>139</v>
      </c>
      <c r="G11" s="71"/>
      <c r="I11"/>
      <c r="J11"/>
      <c r="K11"/>
      <c r="L11"/>
      <c r="M11" s="75">
        <v>13848</v>
      </c>
      <c r="N11"/>
      <c r="O11"/>
    </row>
    <row r="12" spans="1:15" x14ac:dyDescent="0.3">
      <c r="A12" s="68">
        <v>46097</v>
      </c>
      <c r="B12" s="69" t="s">
        <v>3</v>
      </c>
      <c r="C12" s="70">
        <v>2000</v>
      </c>
      <c r="D12" s="70">
        <v>2000</v>
      </c>
      <c r="E12" s="71"/>
      <c r="F12" s="69" t="s">
        <v>126</v>
      </c>
      <c r="G12" s="71"/>
      <c r="I12" s="15"/>
      <c r="J12" s="22"/>
      <c r="K12" s="38"/>
      <c r="L12" s="38"/>
      <c r="M12" s="38"/>
      <c r="N12" s="38"/>
      <c r="O12" s="15"/>
    </row>
    <row r="13" spans="1:15" x14ac:dyDescent="0.3">
      <c r="A13" s="68">
        <v>46097</v>
      </c>
      <c r="B13" s="69" t="s">
        <v>87</v>
      </c>
      <c r="C13" s="70">
        <v>36</v>
      </c>
      <c r="D13" s="70">
        <v>36</v>
      </c>
      <c r="E13" s="71"/>
      <c r="F13" s="69" t="s">
        <v>115</v>
      </c>
      <c r="G13" s="71"/>
      <c r="I13" s="15"/>
      <c r="J13" s="22"/>
      <c r="K13" s="15"/>
      <c r="L13" s="15"/>
      <c r="M13" s="15"/>
      <c r="N13" s="15"/>
      <c r="O13" s="15"/>
    </row>
    <row r="14" spans="1:15" x14ac:dyDescent="0.3">
      <c r="A14" s="68">
        <v>46097</v>
      </c>
      <c r="B14" s="69" t="s">
        <v>87</v>
      </c>
      <c r="C14" s="70">
        <v>18</v>
      </c>
      <c r="D14" s="70">
        <v>18</v>
      </c>
      <c r="E14" s="71"/>
      <c r="F14" s="69" t="s">
        <v>115</v>
      </c>
      <c r="G14" s="71"/>
      <c r="I14" s="15"/>
      <c r="J14" s="22"/>
      <c r="K14" s="15"/>
      <c r="L14" s="15"/>
      <c r="M14" s="15"/>
      <c r="N14" s="15"/>
      <c r="O14" s="15"/>
    </row>
    <row r="15" spans="1:15" x14ac:dyDescent="0.3">
      <c r="A15" s="68">
        <v>46099</v>
      </c>
      <c r="B15" s="69" t="s">
        <v>3</v>
      </c>
      <c r="C15" s="70">
        <v>2500</v>
      </c>
      <c r="D15" s="70">
        <v>2500</v>
      </c>
      <c r="E15" s="71"/>
      <c r="F15" s="69" t="s">
        <v>140</v>
      </c>
      <c r="G15" s="71"/>
      <c r="I15" s="37"/>
      <c r="J15" s="22"/>
      <c r="K15" s="15"/>
      <c r="L15" s="37"/>
      <c r="M15" s="38"/>
      <c r="N15" s="22"/>
      <c r="O15" s="15"/>
    </row>
    <row r="16" spans="1:15" x14ac:dyDescent="0.3">
      <c r="A16" s="68">
        <v>46104</v>
      </c>
      <c r="B16" s="69" t="s">
        <v>3</v>
      </c>
      <c r="C16" s="70">
        <v>4250</v>
      </c>
      <c r="D16" s="70">
        <v>4250</v>
      </c>
      <c r="E16" s="71"/>
      <c r="F16" s="69" t="s">
        <v>141</v>
      </c>
      <c r="G16" s="71"/>
      <c r="M16" s="3"/>
      <c r="N16" s="13"/>
    </row>
    <row r="17" spans="1:9" x14ac:dyDescent="0.3">
      <c r="A17" s="68">
        <v>46104</v>
      </c>
      <c r="B17" s="69" t="s">
        <v>3</v>
      </c>
      <c r="C17" s="70">
        <v>8250</v>
      </c>
      <c r="D17" s="70">
        <v>8100.9</v>
      </c>
      <c r="E17" s="71"/>
      <c r="F17" s="69" t="s">
        <v>77</v>
      </c>
      <c r="G17" s="69" t="s">
        <v>142</v>
      </c>
    </row>
    <row r="18" spans="1:9" x14ac:dyDescent="0.3">
      <c r="A18" s="68">
        <v>46105</v>
      </c>
      <c r="B18" s="69" t="s">
        <v>3</v>
      </c>
      <c r="C18" s="70">
        <v>3750</v>
      </c>
      <c r="D18" s="70">
        <v>3750</v>
      </c>
      <c r="E18" s="71"/>
      <c r="F18" s="69" t="s">
        <v>143</v>
      </c>
      <c r="G18" s="71"/>
      <c r="I18" s="13"/>
    </row>
    <row r="19" spans="1:9" x14ac:dyDescent="0.3">
      <c r="A19" s="72">
        <v>46106</v>
      </c>
      <c r="B19" s="73" t="s">
        <v>3</v>
      </c>
      <c r="C19" s="70">
        <v>2000</v>
      </c>
      <c r="D19" s="74">
        <v>2000</v>
      </c>
      <c r="E19" s="71"/>
      <c r="F19" s="69" t="s">
        <v>144</v>
      </c>
      <c r="G19" s="71"/>
    </row>
    <row r="20" spans="1:9" x14ac:dyDescent="0.3">
      <c r="A20" s="68">
        <v>46107</v>
      </c>
      <c r="B20" s="69" t="s">
        <v>145</v>
      </c>
      <c r="C20" s="70">
        <v>1200</v>
      </c>
      <c r="D20" s="70">
        <v>1200</v>
      </c>
      <c r="E20" s="71"/>
      <c r="F20" s="69" t="s">
        <v>134</v>
      </c>
      <c r="G20" s="71"/>
    </row>
    <row r="21" spans="1:9" x14ac:dyDescent="0.3">
      <c r="A21" s="68">
        <v>46108</v>
      </c>
      <c r="B21" s="69" t="s">
        <v>3</v>
      </c>
      <c r="C21" s="70">
        <v>2750</v>
      </c>
      <c r="D21" s="70">
        <v>2750</v>
      </c>
      <c r="E21" s="71"/>
      <c r="F21" s="69" t="s">
        <v>146</v>
      </c>
      <c r="G21" s="71"/>
    </row>
    <row r="22" spans="1:9" x14ac:dyDescent="0.3">
      <c r="A22" s="68">
        <v>46110</v>
      </c>
      <c r="B22" s="69" t="s">
        <v>3</v>
      </c>
      <c r="C22" s="70">
        <v>2000</v>
      </c>
      <c r="D22" s="70">
        <v>2000</v>
      </c>
      <c r="E22" s="71"/>
      <c r="F22" s="69" t="s">
        <v>147</v>
      </c>
      <c r="G22" s="71"/>
    </row>
    <row r="23" spans="1:9" x14ac:dyDescent="0.3">
      <c r="A23" s="68">
        <v>46107</v>
      </c>
      <c r="B23" s="69" t="s">
        <v>2</v>
      </c>
      <c r="C23" s="70">
        <v>52250</v>
      </c>
      <c r="D23" s="70">
        <v>52250</v>
      </c>
      <c r="E23" s="71"/>
      <c r="F23" s="69" t="s">
        <v>148</v>
      </c>
      <c r="G23" s="71"/>
    </row>
    <row r="24" spans="1:9" x14ac:dyDescent="0.3">
      <c r="A24" s="41">
        <v>46111</v>
      </c>
      <c r="B24" s="42" t="s">
        <v>3</v>
      </c>
      <c r="C24" s="44">
        <v>2000</v>
      </c>
      <c r="D24" s="44">
        <v>2000</v>
      </c>
      <c r="E24" s="45"/>
      <c r="F24" s="42" t="s">
        <v>149</v>
      </c>
      <c r="G24" s="45"/>
    </row>
    <row r="25" spans="1:9" x14ac:dyDescent="0.3">
      <c r="A25" s="6"/>
      <c r="B25" s="6"/>
      <c r="C25" s="7">
        <f>SUM(C5:C24)</f>
        <v>114766</v>
      </c>
      <c r="D25" s="7">
        <f>SUM(D5:D24)</f>
        <v>114616.9</v>
      </c>
      <c r="E25" s="7">
        <f>C25-D25</f>
        <v>149.10000000000582</v>
      </c>
      <c r="F25" s="7"/>
      <c r="G25" s="7">
        <f>SUM(G20:G24)</f>
        <v>0</v>
      </c>
    </row>
    <row r="26" spans="1:9" x14ac:dyDescent="0.3">
      <c r="A26" s="28"/>
    </row>
    <row r="27" spans="1:9" x14ac:dyDescent="0.3">
      <c r="A27" s="28"/>
    </row>
    <row r="28" spans="1:9" ht="15.6" x14ac:dyDescent="0.3">
      <c r="A28" s="113" t="s">
        <v>20</v>
      </c>
      <c r="B28" s="113"/>
      <c r="C28" s="113"/>
      <c r="D28" s="113"/>
      <c r="E28" s="113"/>
      <c r="F28" s="113"/>
      <c r="G28" s="113"/>
    </row>
    <row r="29" spans="1:9" x14ac:dyDescent="0.3">
      <c r="A29" s="6" t="s">
        <v>0</v>
      </c>
      <c r="B29" s="6" t="s">
        <v>1</v>
      </c>
      <c r="C29" s="7" t="s">
        <v>4</v>
      </c>
      <c r="D29" s="7" t="s">
        <v>12</v>
      </c>
      <c r="E29" s="6"/>
      <c r="F29" s="6"/>
      <c r="G29" s="6"/>
    </row>
    <row r="30" spans="1:9" x14ac:dyDescent="0.3">
      <c r="A30" s="68">
        <v>46083</v>
      </c>
      <c r="B30" s="42" t="s">
        <v>10</v>
      </c>
      <c r="C30" s="42">
        <v>110</v>
      </c>
      <c r="D30" s="15"/>
      <c r="E30" s="15"/>
      <c r="F30" s="22"/>
      <c r="G30" s="21"/>
    </row>
    <row r="31" spans="1:9" x14ac:dyDescent="0.3">
      <c r="A31" s="68">
        <v>46083</v>
      </c>
      <c r="B31" s="42" t="s">
        <v>24</v>
      </c>
      <c r="C31" s="44">
        <v>1000</v>
      </c>
      <c r="D31" s="15"/>
      <c r="E31" s="15"/>
      <c r="F31" s="22"/>
      <c r="G31" s="21"/>
    </row>
    <row r="32" spans="1:9" x14ac:dyDescent="0.3">
      <c r="A32" s="68">
        <v>46083</v>
      </c>
      <c r="B32" s="42" t="s">
        <v>248</v>
      </c>
      <c r="C32" s="42">
        <v>140.79</v>
      </c>
      <c r="D32" s="15"/>
      <c r="E32" s="15"/>
      <c r="F32" s="22"/>
      <c r="G32" s="21"/>
    </row>
    <row r="33" spans="1:10" x14ac:dyDescent="0.3">
      <c r="A33" s="68">
        <v>46084</v>
      </c>
      <c r="B33" s="42" t="s">
        <v>10</v>
      </c>
      <c r="C33" s="42">
        <v>110</v>
      </c>
      <c r="D33" s="15"/>
      <c r="E33" s="15"/>
      <c r="F33" s="22"/>
      <c r="G33" s="21"/>
    </row>
    <row r="34" spans="1:10" x14ac:dyDescent="0.3">
      <c r="A34" s="68">
        <v>46084</v>
      </c>
      <c r="B34" s="42" t="s">
        <v>24</v>
      </c>
      <c r="C34" s="44">
        <v>1000</v>
      </c>
      <c r="D34" s="15"/>
      <c r="E34" s="15"/>
      <c r="F34" s="22"/>
      <c r="G34" s="21"/>
    </row>
    <row r="35" spans="1:10" x14ac:dyDescent="0.3">
      <c r="A35" s="68">
        <v>46085</v>
      </c>
      <c r="B35" s="42" t="s">
        <v>10</v>
      </c>
      <c r="C35" s="42">
        <v>110</v>
      </c>
      <c r="D35" s="15"/>
      <c r="E35" s="15"/>
      <c r="F35" s="22"/>
      <c r="G35" s="21"/>
    </row>
    <row r="36" spans="1:10" x14ac:dyDescent="0.3">
      <c r="A36" s="68">
        <v>46085</v>
      </c>
      <c r="B36" s="42" t="s">
        <v>24</v>
      </c>
      <c r="C36" s="44">
        <v>1000</v>
      </c>
      <c r="D36" s="15"/>
      <c r="E36" s="15"/>
      <c r="F36" s="22"/>
      <c r="G36" s="21"/>
    </row>
    <row r="37" spans="1:10" x14ac:dyDescent="0.3">
      <c r="A37" s="68">
        <v>46086</v>
      </c>
      <c r="B37" s="42" t="s">
        <v>10</v>
      </c>
      <c r="C37" s="42">
        <v>110</v>
      </c>
      <c r="D37" s="15"/>
      <c r="E37" s="15"/>
      <c r="F37" s="22"/>
      <c r="G37" s="21"/>
    </row>
    <row r="38" spans="1:10" x14ac:dyDescent="0.3">
      <c r="A38" s="68">
        <v>46086</v>
      </c>
      <c r="B38" s="42" t="s">
        <v>24</v>
      </c>
      <c r="C38" s="44">
        <v>1000</v>
      </c>
      <c r="D38" s="15"/>
      <c r="E38" s="15"/>
      <c r="F38" s="22"/>
      <c r="G38" s="21"/>
    </row>
    <row r="39" spans="1:10" x14ac:dyDescent="0.3">
      <c r="A39" s="68">
        <v>46087</v>
      </c>
      <c r="B39" s="42" t="s">
        <v>10</v>
      </c>
      <c r="C39" s="42">
        <v>110</v>
      </c>
      <c r="D39" s="15"/>
      <c r="E39" s="15"/>
      <c r="F39" s="22"/>
      <c r="G39" s="21"/>
    </row>
    <row r="40" spans="1:10" x14ac:dyDescent="0.3">
      <c r="A40" s="68">
        <v>46087</v>
      </c>
      <c r="B40" s="42" t="s">
        <v>24</v>
      </c>
      <c r="C40" s="44">
        <v>1000</v>
      </c>
      <c r="D40" s="15"/>
      <c r="E40" s="15"/>
      <c r="F40" s="22"/>
      <c r="G40" s="21"/>
    </row>
    <row r="41" spans="1:10" x14ac:dyDescent="0.3">
      <c r="A41" s="68">
        <v>46090</v>
      </c>
      <c r="B41" s="42" t="s">
        <v>10</v>
      </c>
      <c r="C41" s="42">
        <v>110</v>
      </c>
      <c r="D41" s="15"/>
      <c r="E41" s="15"/>
      <c r="F41" s="22"/>
      <c r="G41" s="21"/>
    </row>
    <row r="42" spans="1:10" x14ac:dyDescent="0.3">
      <c r="A42" s="68">
        <v>46090</v>
      </c>
      <c r="B42" s="42" t="s">
        <v>24</v>
      </c>
      <c r="C42" s="44">
        <v>1000</v>
      </c>
      <c r="D42" s="15"/>
      <c r="E42" s="15"/>
      <c r="F42" s="22"/>
      <c r="G42" s="21"/>
    </row>
    <row r="43" spans="1:10" x14ac:dyDescent="0.3">
      <c r="A43" s="68">
        <v>46093</v>
      </c>
      <c r="B43" s="42" t="s">
        <v>10</v>
      </c>
      <c r="C43" s="42">
        <v>110</v>
      </c>
      <c r="D43" s="15"/>
      <c r="E43" s="15"/>
      <c r="F43" s="22"/>
      <c r="G43" s="21"/>
    </row>
    <row r="44" spans="1:10" x14ac:dyDescent="0.3">
      <c r="A44" s="68">
        <v>46093</v>
      </c>
      <c r="B44" s="42" t="s">
        <v>24</v>
      </c>
      <c r="C44" s="44">
        <v>1000</v>
      </c>
      <c r="D44" s="15"/>
      <c r="E44" s="15"/>
      <c r="F44" s="22"/>
      <c r="G44" s="21"/>
    </row>
    <row r="45" spans="1:10" x14ac:dyDescent="0.3">
      <c r="A45" s="68">
        <v>46097</v>
      </c>
      <c r="B45" s="42" t="s">
        <v>10</v>
      </c>
      <c r="C45" s="42">
        <v>110</v>
      </c>
      <c r="D45" s="15"/>
      <c r="E45" s="15"/>
      <c r="F45" s="22"/>
      <c r="G45" s="21"/>
      <c r="J45" s="30"/>
    </row>
    <row r="46" spans="1:10" x14ac:dyDescent="0.3">
      <c r="A46" s="68">
        <v>46097</v>
      </c>
      <c r="B46" s="42" t="s">
        <v>24</v>
      </c>
      <c r="C46" s="44">
        <v>1000</v>
      </c>
      <c r="D46" s="15"/>
      <c r="E46" s="15"/>
      <c r="F46" s="22"/>
      <c r="G46" s="21"/>
    </row>
    <row r="47" spans="1:10" x14ac:dyDescent="0.3">
      <c r="A47" s="68">
        <v>46099</v>
      </c>
      <c r="B47" s="42" t="s">
        <v>10</v>
      </c>
      <c r="C47" s="42">
        <v>110</v>
      </c>
      <c r="D47" s="15"/>
      <c r="E47" s="15"/>
      <c r="F47" s="22"/>
      <c r="G47" s="21"/>
    </row>
    <row r="48" spans="1:10" x14ac:dyDescent="0.3">
      <c r="A48" s="68">
        <v>46099</v>
      </c>
      <c r="B48" s="42" t="s">
        <v>24</v>
      </c>
      <c r="C48" s="44">
        <v>1000</v>
      </c>
      <c r="D48" s="15"/>
      <c r="E48" s="15"/>
      <c r="F48" s="22"/>
      <c r="G48" s="21"/>
    </row>
    <row r="49" spans="1:7" x14ac:dyDescent="0.3">
      <c r="A49" s="68">
        <v>46103</v>
      </c>
      <c r="B49" s="42" t="s">
        <v>249</v>
      </c>
      <c r="C49" s="42">
        <v>88.7</v>
      </c>
      <c r="D49" s="15"/>
      <c r="E49" s="15"/>
      <c r="F49" s="22"/>
      <c r="G49" s="21"/>
    </row>
    <row r="50" spans="1:7" x14ac:dyDescent="0.3">
      <c r="A50" s="68">
        <v>46104</v>
      </c>
      <c r="B50" s="42" t="s">
        <v>10</v>
      </c>
      <c r="C50" s="42">
        <v>220</v>
      </c>
      <c r="D50" s="15"/>
      <c r="E50" s="15"/>
      <c r="F50" s="22"/>
      <c r="G50" s="21"/>
    </row>
    <row r="51" spans="1:7" x14ac:dyDescent="0.3">
      <c r="A51" s="68">
        <v>46104</v>
      </c>
      <c r="B51" s="42" t="s">
        <v>24</v>
      </c>
      <c r="C51" s="44">
        <v>2000</v>
      </c>
      <c r="D51" s="15"/>
      <c r="E51" s="15"/>
      <c r="F51" s="22"/>
      <c r="G51" s="21"/>
    </row>
    <row r="52" spans="1:7" x14ac:dyDescent="0.3">
      <c r="A52" s="68">
        <v>46105</v>
      </c>
      <c r="B52" s="42" t="s">
        <v>10</v>
      </c>
      <c r="C52" s="42">
        <v>220</v>
      </c>
      <c r="D52" s="15"/>
      <c r="E52" s="15"/>
      <c r="F52" s="22"/>
      <c r="G52" s="21"/>
    </row>
    <row r="53" spans="1:7" x14ac:dyDescent="0.3">
      <c r="A53" s="68">
        <v>46105</v>
      </c>
      <c r="B53" s="42" t="s">
        <v>24</v>
      </c>
      <c r="C53" s="44">
        <v>2000</v>
      </c>
      <c r="D53" s="15"/>
      <c r="E53" s="15"/>
      <c r="F53" s="22"/>
      <c r="G53" s="21"/>
    </row>
    <row r="54" spans="1:7" x14ac:dyDescent="0.3">
      <c r="A54" s="72">
        <v>46106</v>
      </c>
      <c r="B54" s="42" t="s">
        <v>10</v>
      </c>
      <c r="C54" s="42">
        <v>110</v>
      </c>
      <c r="D54" s="15"/>
      <c r="E54" s="15"/>
      <c r="F54" s="22"/>
      <c r="G54" s="21"/>
    </row>
    <row r="55" spans="1:7" x14ac:dyDescent="0.3">
      <c r="A55" s="72">
        <v>46106</v>
      </c>
      <c r="B55" s="42" t="s">
        <v>24</v>
      </c>
      <c r="C55" s="44">
        <v>1000</v>
      </c>
      <c r="D55" s="15"/>
      <c r="E55" s="15"/>
      <c r="F55" s="22"/>
      <c r="G55" s="21"/>
    </row>
    <row r="56" spans="1:7" x14ac:dyDescent="0.3">
      <c r="A56" s="68">
        <v>46107</v>
      </c>
      <c r="B56" s="42" t="s">
        <v>10</v>
      </c>
      <c r="C56" s="42">
        <v>110</v>
      </c>
      <c r="D56" s="15"/>
      <c r="E56" s="15"/>
      <c r="F56" s="22"/>
      <c r="G56" s="21"/>
    </row>
    <row r="57" spans="1:7" x14ac:dyDescent="0.3">
      <c r="A57" s="68">
        <v>46107</v>
      </c>
      <c r="B57" s="42" t="s">
        <v>24</v>
      </c>
      <c r="C57" s="44">
        <v>1000</v>
      </c>
      <c r="D57" s="15"/>
      <c r="E57" s="15"/>
      <c r="F57" s="22"/>
      <c r="G57" s="21"/>
    </row>
    <row r="58" spans="1:7" x14ac:dyDescent="0.3">
      <c r="A58" s="68">
        <v>46107</v>
      </c>
      <c r="B58" s="42" t="s">
        <v>249</v>
      </c>
      <c r="C58" s="42">
        <v>21.37</v>
      </c>
      <c r="D58" s="15"/>
      <c r="E58" s="15"/>
      <c r="F58" s="22"/>
      <c r="G58" s="21"/>
    </row>
    <row r="59" spans="1:7" x14ac:dyDescent="0.3">
      <c r="A59" s="68">
        <v>46108</v>
      </c>
      <c r="B59" s="42" t="s">
        <v>10</v>
      </c>
      <c r="C59" s="42">
        <v>110</v>
      </c>
      <c r="D59" s="15"/>
      <c r="E59" s="15"/>
      <c r="F59" s="22"/>
      <c r="G59" s="21"/>
    </row>
    <row r="60" spans="1:7" x14ac:dyDescent="0.3">
      <c r="A60" s="68">
        <v>46108</v>
      </c>
      <c r="B60" s="42" t="s">
        <v>24</v>
      </c>
      <c r="C60" s="44">
        <v>1000</v>
      </c>
      <c r="D60" s="15"/>
      <c r="E60" s="15"/>
      <c r="F60" s="22"/>
      <c r="G60" s="21"/>
    </row>
    <row r="61" spans="1:7" x14ac:dyDescent="0.3">
      <c r="A61" s="68">
        <v>46110</v>
      </c>
      <c r="B61" s="42" t="s">
        <v>10</v>
      </c>
      <c r="C61" s="42">
        <v>110</v>
      </c>
      <c r="D61" s="15"/>
      <c r="E61" s="15"/>
      <c r="F61" s="22"/>
      <c r="G61" s="21"/>
    </row>
    <row r="62" spans="1:7" x14ac:dyDescent="0.3">
      <c r="A62" s="68">
        <v>46110</v>
      </c>
      <c r="B62" s="42" t="s">
        <v>24</v>
      </c>
      <c r="C62" s="44">
        <v>1000</v>
      </c>
      <c r="D62" s="15"/>
      <c r="E62" s="15"/>
      <c r="F62" s="22"/>
      <c r="G62" s="21"/>
    </row>
    <row r="63" spans="1:7" x14ac:dyDescent="0.3">
      <c r="A63" s="41">
        <v>46111</v>
      </c>
      <c r="B63" s="42" t="s">
        <v>10</v>
      </c>
      <c r="C63" s="42">
        <v>110</v>
      </c>
      <c r="D63" s="15"/>
      <c r="E63" s="15"/>
      <c r="F63" s="22"/>
      <c r="G63" s="21"/>
    </row>
    <row r="64" spans="1:7" x14ac:dyDescent="0.3">
      <c r="A64" s="41">
        <v>46111</v>
      </c>
      <c r="B64" s="42" t="s">
        <v>24</v>
      </c>
      <c r="C64" s="44">
        <v>1000</v>
      </c>
      <c r="D64" s="15"/>
      <c r="E64" s="15"/>
      <c r="F64" s="22"/>
      <c r="G64" s="21"/>
    </row>
    <row r="65" spans="1:7" x14ac:dyDescent="0.3">
      <c r="A65" s="6"/>
      <c r="B65" s="6"/>
      <c r="C65" s="7">
        <f>SUM(C30:C64)</f>
        <v>20230.86</v>
      </c>
      <c r="D65" s="7"/>
      <c r="E65" s="7"/>
      <c r="F65" s="7"/>
      <c r="G65" s="7"/>
    </row>
    <row r="66" spans="1:7" x14ac:dyDescent="0.3">
      <c r="A66" s="28"/>
    </row>
    <row r="67" spans="1:7" x14ac:dyDescent="0.3">
      <c r="A67" s="28"/>
    </row>
    <row r="68" spans="1:7" ht="15.6" x14ac:dyDescent="0.3">
      <c r="A68" s="113" t="s">
        <v>27</v>
      </c>
      <c r="B68" s="113"/>
      <c r="C68" s="113"/>
      <c r="D68" s="113"/>
      <c r="E68" s="113"/>
      <c r="F68" s="113"/>
      <c r="G68" s="113"/>
    </row>
    <row r="69" spans="1:7" ht="15.6" x14ac:dyDescent="0.3">
      <c r="A69" s="113" t="s">
        <v>32</v>
      </c>
      <c r="B69" s="113"/>
      <c r="C69" s="113"/>
      <c r="D69" s="113"/>
      <c r="E69" s="113"/>
      <c r="F69" s="113"/>
      <c r="G69" s="113"/>
    </row>
    <row r="70" spans="1:7" x14ac:dyDescent="0.3">
      <c r="A70" s="6" t="s">
        <v>0</v>
      </c>
      <c r="B70" s="6" t="s">
        <v>1</v>
      </c>
      <c r="C70" s="7" t="s">
        <v>4</v>
      </c>
      <c r="D70" s="7" t="s">
        <v>11</v>
      </c>
      <c r="E70" s="7"/>
      <c r="F70" s="7"/>
      <c r="G70" s="7"/>
    </row>
    <row r="71" spans="1:7" x14ac:dyDescent="0.3">
      <c r="A71" s="68">
        <v>46104</v>
      </c>
      <c r="B71" s="42" t="s">
        <v>232</v>
      </c>
      <c r="C71" s="44">
        <v>1350</v>
      </c>
      <c r="D71" s="42" t="s">
        <v>81</v>
      </c>
    </row>
    <row r="72" spans="1:7" x14ac:dyDescent="0.3">
      <c r="A72" s="28"/>
      <c r="C72" s="9"/>
    </row>
    <row r="73" spans="1:7" x14ac:dyDescent="0.3">
      <c r="A73" s="28"/>
      <c r="C73" s="9"/>
    </row>
    <row r="74" spans="1:7" x14ac:dyDescent="0.3">
      <c r="A74" s="6"/>
      <c r="B74" s="6"/>
      <c r="C74" s="7">
        <f>SUM(C70:C73)</f>
        <v>1350</v>
      </c>
      <c r="D74" s="7"/>
      <c r="E74" s="7"/>
      <c r="F74" s="7"/>
      <c r="G74" s="7"/>
    </row>
    <row r="75" spans="1:7" x14ac:dyDescent="0.3">
      <c r="A75" s="28"/>
    </row>
    <row r="76" spans="1:7" ht="15.6" x14ac:dyDescent="0.3">
      <c r="A76" s="113" t="s">
        <v>22</v>
      </c>
      <c r="B76" s="113"/>
      <c r="C76" s="113"/>
      <c r="D76" s="113"/>
      <c r="E76" s="113"/>
      <c r="F76" s="113"/>
      <c r="G76" s="113"/>
    </row>
    <row r="77" spans="1:7" x14ac:dyDescent="0.3">
      <c r="A77" s="6" t="s">
        <v>0</v>
      </c>
      <c r="B77" s="6" t="s">
        <v>1</v>
      </c>
      <c r="C77" s="7" t="s">
        <v>4</v>
      </c>
      <c r="D77" s="7" t="s">
        <v>11</v>
      </c>
      <c r="E77" s="7"/>
      <c r="F77" s="7"/>
      <c r="G77" s="7"/>
    </row>
    <row r="78" spans="1:7" x14ac:dyDescent="0.3">
      <c r="A78" s="28">
        <v>46097</v>
      </c>
      <c r="B78" s="2" t="s">
        <v>226</v>
      </c>
      <c r="C78" s="3">
        <v>24</v>
      </c>
      <c r="D78" s="2" t="s">
        <v>227</v>
      </c>
    </row>
    <row r="79" spans="1:7" x14ac:dyDescent="0.3">
      <c r="A79" s="28">
        <v>46108</v>
      </c>
      <c r="B79" s="2" t="s">
        <v>226</v>
      </c>
      <c r="C79" s="3">
        <v>24</v>
      </c>
      <c r="D79" s="2" t="s">
        <v>227</v>
      </c>
    </row>
    <row r="80" spans="1:7" x14ac:dyDescent="0.3">
      <c r="A80" s="41">
        <v>46097</v>
      </c>
      <c r="B80" s="42" t="s">
        <v>233</v>
      </c>
      <c r="C80" s="77">
        <v>264</v>
      </c>
      <c r="D80" s="42" t="s">
        <v>81</v>
      </c>
    </row>
    <row r="81" spans="1:7" x14ac:dyDescent="0.3">
      <c r="A81" s="41">
        <v>46093</v>
      </c>
      <c r="B81" s="42" t="s">
        <v>234</v>
      </c>
      <c r="C81" s="77">
        <v>123</v>
      </c>
      <c r="D81" s="42" t="s">
        <v>101</v>
      </c>
    </row>
    <row r="82" spans="1:7" x14ac:dyDescent="0.3">
      <c r="A82" s="28"/>
    </row>
    <row r="83" spans="1:7" x14ac:dyDescent="0.3">
      <c r="A83" s="28"/>
    </row>
    <row r="84" spans="1:7" x14ac:dyDescent="0.3">
      <c r="A84" s="28"/>
    </row>
    <row r="85" spans="1:7" x14ac:dyDescent="0.3">
      <c r="A85" s="6"/>
      <c r="B85" s="6"/>
      <c r="C85" s="7">
        <f>SUM(C78:C84)</f>
        <v>435</v>
      </c>
      <c r="D85" s="7"/>
      <c r="E85" s="7"/>
      <c r="F85" s="7"/>
      <c r="G85" s="7"/>
    </row>
    <row r="86" spans="1:7" x14ac:dyDescent="0.3">
      <c r="A86" s="28"/>
      <c r="C86" s="5"/>
    </row>
    <row r="87" spans="1:7" ht="15.6" x14ac:dyDescent="0.3">
      <c r="A87" s="113" t="s">
        <v>23</v>
      </c>
      <c r="B87" s="113"/>
      <c r="C87" s="113"/>
      <c r="D87" s="113"/>
      <c r="E87" s="113"/>
      <c r="F87" s="113"/>
      <c r="G87" s="113"/>
    </row>
    <row r="88" spans="1:7" x14ac:dyDescent="0.3">
      <c r="A88" s="6" t="s">
        <v>0</v>
      </c>
      <c r="B88" s="6" t="s">
        <v>1</v>
      </c>
      <c r="C88" s="7" t="s">
        <v>4</v>
      </c>
      <c r="D88" s="7" t="s">
        <v>12</v>
      </c>
      <c r="E88" s="7"/>
      <c r="F88" s="7"/>
      <c r="G88" s="7"/>
    </row>
    <row r="89" spans="1:7" x14ac:dyDescent="0.3">
      <c r="A89" s="28">
        <v>46082</v>
      </c>
      <c r="B89" s="2" t="s">
        <v>5</v>
      </c>
      <c r="C89" s="9">
        <v>2212</v>
      </c>
      <c r="D89" s="2" t="s">
        <v>81</v>
      </c>
    </row>
    <row r="90" spans="1:7" x14ac:dyDescent="0.3">
      <c r="A90" s="28">
        <v>46084</v>
      </c>
      <c r="B90" s="2" t="s">
        <v>36</v>
      </c>
      <c r="C90" s="9">
        <v>1000</v>
      </c>
      <c r="D90" s="2" t="s">
        <v>81</v>
      </c>
    </row>
    <row r="91" spans="1:7" x14ac:dyDescent="0.3">
      <c r="A91" s="28">
        <v>46086</v>
      </c>
      <c r="B91" s="2" t="s">
        <v>19</v>
      </c>
      <c r="C91" s="9">
        <v>1580</v>
      </c>
      <c r="D91" s="2" t="s">
        <v>81</v>
      </c>
    </row>
    <row r="92" spans="1:7" x14ac:dyDescent="0.3">
      <c r="A92" s="27">
        <v>46089</v>
      </c>
      <c r="B92" s="15" t="s">
        <v>33</v>
      </c>
      <c r="C92" s="12">
        <v>153.26</v>
      </c>
      <c r="D92" s="15" t="s">
        <v>81</v>
      </c>
    </row>
    <row r="93" spans="1:7" x14ac:dyDescent="0.3">
      <c r="A93" s="28">
        <v>46091</v>
      </c>
      <c r="B93" s="2" t="s">
        <v>6</v>
      </c>
      <c r="C93" s="9">
        <v>251.55</v>
      </c>
      <c r="D93" s="2" t="s">
        <v>81</v>
      </c>
    </row>
    <row r="94" spans="1:7" x14ac:dyDescent="0.3">
      <c r="A94" s="27">
        <v>46093</v>
      </c>
      <c r="B94" s="15" t="s">
        <v>14</v>
      </c>
      <c r="C94" s="12">
        <v>400</v>
      </c>
      <c r="D94" s="15" t="s">
        <v>81</v>
      </c>
    </row>
    <row r="95" spans="1:7" x14ac:dyDescent="0.3">
      <c r="A95" s="28">
        <v>46096</v>
      </c>
      <c r="B95" s="2" t="s">
        <v>39</v>
      </c>
      <c r="C95" s="9">
        <v>644.28</v>
      </c>
      <c r="D95" s="2" t="s">
        <v>81</v>
      </c>
    </row>
    <row r="96" spans="1:7" x14ac:dyDescent="0.3">
      <c r="A96" s="29">
        <v>46098</v>
      </c>
      <c r="B96" s="23" t="s">
        <v>7</v>
      </c>
      <c r="C96" s="24">
        <v>409.9</v>
      </c>
      <c r="D96" s="23"/>
    </row>
    <row r="97" spans="1:7" x14ac:dyDescent="0.3">
      <c r="A97" s="27">
        <v>46099</v>
      </c>
      <c r="B97" s="15" t="s">
        <v>15</v>
      </c>
      <c r="C97" s="12">
        <v>941.6</v>
      </c>
      <c r="D97" s="15" t="s">
        <v>81</v>
      </c>
    </row>
    <row r="98" spans="1:7" x14ac:dyDescent="0.3">
      <c r="A98" s="27">
        <v>46101</v>
      </c>
      <c r="B98" s="15" t="s">
        <v>18</v>
      </c>
      <c r="C98" s="12">
        <v>1448</v>
      </c>
      <c r="D98" s="15" t="s">
        <v>81</v>
      </c>
    </row>
    <row r="99" spans="1:7" x14ac:dyDescent="0.3">
      <c r="A99" s="29">
        <v>46111</v>
      </c>
      <c r="B99" s="23" t="s">
        <v>90</v>
      </c>
      <c r="C99" s="24">
        <v>485.76</v>
      </c>
      <c r="D99" s="23"/>
    </row>
    <row r="100" spans="1:7" x14ac:dyDescent="0.3">
      <c r="A100" s="29">
        <v>46111</v>
      </c>
      <c r="B100" s="23" t="s">
        <v>25</v>
      </c>
      <c r="C100" s="24">
        <v>3000</v>
      </c>
      <c r="D100" s="23"/>
    </row>
    <row r="101" spans="1:7" x14ac:dyDescent="0.3">
      <c r="A101" s="29">
        <v>46111</v>
      </c>
      <c r="B101" s="23" t="s">
        <v>30</v>
      </c>
      <c r="C101" s="24">
        <f>C25*10%</f>
        <v>11476.6</v>
      </c>
      <c r="D101" s="23"/>
    </row>
    <row r="102" spans="1:7" x14ac:dyDescent="0.3">
      <c r="A102" s="6"/>
      <c r="B102" s="6"/>
      <c r="C102" s="7">
        <f>SUM(C89:C101)</f>
        <v>24002.95</v>
      </c>
      <c r="D102" s="6"/>
      <c r="E102" s="6"/>
      <c r="F102" s="6"/>
      <c r="G102" s="6"/>
    </row>
    <row r="103" spans="1:7" x14ac:dyDescent="0.3">
      <c r="A103" s="28"/>
    </row>
    <row r="104" spans="1:7" ht="15.6" x14ac:dyDescent="0.3">
      <c r="A104" s="113" t="s">
        <v>82</v>
      </c>
      <c r="B104" s="113"/>
      <c r="C104" s="113"/>
      <c r="D104" s="113"/>
      <c r="E104" s="113"/>
      <c r="F104" s="113"/>
      <c r="G104" s="113"/>
    </row>
    <row r="105" spans="1:7" x14ac:dyDescent="0.3">
      <c r="A105" s="6" t="s">
        <v>0</v>
      </c>
      <c r="B105" s="6" t="s">
        <v>1</v>
      </c>
      <c r="C105" s="7" t="s">
        <v>4</v>
      </c>
      <c r="D105" s="7" t="s">
        <v>12</v>
      </c>
      <c r="E105" s="6"/>
      <c r="F105" s="6"/>
      <c r="G105" s="6"/>
    </row>
    <row r="106" spans="1:7" x14ac:dyDescent="0.3">
      <c r="A106" s="28"/>
      <c r="C106" s="9"/>
    </row>
    <row r="107" spans="1:7" x14ac:dyDescent="0.3">
      <c r="A107" s="28"/>
      <c r="C107" s="9"/>
    </row>
    <row r="108" spans="1:7" x14ac:dyDescent="0.3">
      <c r="A108" s="29"/>
      <c r="B108" s="23"/>
      <c r="C108" s="24"/>
      <c r="D108" s="23"/>
      <c r="E108" s="23"/>
    </row>
    <row r="109" spans="1:7" x14ac:dyDescent="0.3">
      <c r="A109" s="28"/>
      <c r="C109" s="9"/>
    </row>
    <row r="110" spans="1:7" x14ac:dyDescent="0.3">
      <c r="A110" s="28"/>
      <c r="C110" s="9"/>
    </row>
    <row r="111" spans="1:7" x14ac:dyDescent="0.3">
      <c r="A111" s="6"/>
      <c r="B111" s="6"/>
      <c r="C111" s="7">
        <f>SUM(C106:C109)</f>
        <v>0</v>
      </c>
      <c r="D111" s="6"/>
      <c r="E111" s="6"/>
      <c r="F111" s="6"/>
      <c r="G111" s="6"/>
    </row>
    <row r="112" spans="1:7" x14ac:dyDescent="0.3">
      <c r="A112" s="28"/>
      <c r="C112" s="16"/>
    </row>
    <row r="113" spans="1:7" x14ac:dyDescent="0.3">
      <c r="A113" s="27"/>
      <c r="B113" s="15"/>
      <c r="C113" s="12"/>
      <c r="D113" s="15"/>
      <c r="E113" s="15"/>
      <c r="F113" s="22"/>
      <c r="G113" s="21"/>
    </row>
    <row r="114" spans="1:7" x14ac:dyDescent="0.3">
      <c r="A114" s="27"/>
      <c r="B114" s="15"/>
      <c r="C114" s="12"/>
      <c r="D114" s="15"/>
      <c r="E114" s="15"/>
      <c r="F114" s="22"/>
      <c r="G114" s="21"/>
    </row>
    <row r="116" spans="1:7" x14ac:dyDescent="0.3">
      <c r="B116" s="4"/>
      <c r="C116" s="5"/>
      <c r="D116" s="4"/>
    </row>
    <row r="117" spans="1:7" x14ac:dyDescent="0.3">
      <c r="B117" s="4" t="s">
        <v>26</v>
      </c>
      <c r="C117" s="5">
        <f>C25</f>
        <v>114766</v>
      </c>
      <c r="D117" s="4"/>
    </row>
    <row r="118" spans="1:7" x14ac:dyDescent="0.3">
      <c r="B118" s="4" t="s">
        <v>27</v>
      </c>
      <c r="C118" s="5" t="e">
        <f>C74+C85+C102+C111+#REF!</f>
        <v>#REF!</v>
      </c>
    </row>
    <row r="119" spans="1:7" x14ac:dyDescent="0.3">
      <c r="B119" s="4" t="s">
        <v>28</v>
      </c>
      <c r="C119" s="5" t="e">
        <f>C117-C118</f>
        <v>#REF!</v>
      </c>
    </row>
    <row r="120" spans="1:7" x14ac:dyDescent="0.3">
      <c r="B120" s="4" t="s">
        <v>31</v>
      </c>
      <c r="C120" s="5" t="e">
        <f>C101+C119</f>
        <v>#REF!</v>
      </c>
    </row>
  </sheetData>
  <mergeCells count="9">
    <mergeCell ref="A1:O1"/>
    <mergeCell ref="A87:G87"/>
    <mergeCell ref="A104:G104"/>
    <mergeCell ref="A3:G3"/>
    <mergeCell ref="I3:O3"/>
    <mergeCell ref="A28:G28"/>
    <mergeCell ref="A68:G68"/>
    <mergeCell ref="A69:G69"/>
    <mergeCell ref="A76:G7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44C8-5D20-4B1A-B770-2AB655585298}">
  <dimension ref="A1:O98"/>
  <sheetViews>
    <sheetView showGridLines="0" workbookViewId="0">
      <selection activeCell="M7" sqref="M7"/>
    </sheetView>
  </sheetViews>
  <sheetFormatPr defaultRowHeight="14.4" x14ac:dyDescent="0.3"/>
  <cols>
    <col min="1" max="1" width="10.6640625" style="2" customWidth="1"/>
    <col min="2" max="2" width="15.88671875" style="2" bestFit="1" customWidth="1"/>
    <col min="3" max="3" width="11.44140625" style="3" bestFit="1" customWidth="1"/>
    <col min="4" max="4" width="11.5546875" style="2" bestFit="1" customWidth="1"/>
    <col min="5" max="5" width="11.44140625" style="2" bestFit="1" customWidth="1"/>
    <col min="6" max="6" width="13.33203125" style="3" bestFit="1" customWidth="1"/>
    <col min="7" max="7" width="9.5546875" style="11" bestFit="1" customWidth="1"/>
    <col min="9" max="9" width="10.6640625" style="2" bestFit="1" customWidth="1"/>
    <col min="10" max="10" width="12.88671875" style="3" bestFit="1" customWidth="1"/>
    <col min="11" max="11" width="11.44140625" style="2" bestFit="1" customWidth="1"/>
    <col min="12" max="12" width="10.5546875" style="2" bestFit="1" customWidth="1"/>
    <col min="13" max="13" width="10.33203125" style="2" bestFit="1" customWidth="1"/>
    <col min="14" max="14" width="11.44140625" style="2" bestFit="1" customWidth="1"/>
    <col min="15" max="15" width="8.88671875" style="2"/>
  </cols>
  <sheetData>
    <row r="1" spans="1:15" ht="21" customHeight="1" x14ac:dyDescent="0.3">
      <c r="A1" s="114" t="s">
        <v>133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3" spans="1:15" ht="15.6" x14ac:dyDescent="0.3">
      <c r="A3" s="113" t="s">
        <v>26</v>
      </c>
      <c r="B3" s="113"/>
      <c r="C3" s="113"/>
      <c r="D3" s="113"/>
      <c r="E3" s="113"/>
      <c r="F3" s="113"/>
      <c r="G3" s="113"/>
      <c r="I3" s="113" t="s">
        <v>35</v>
      </c>
      <c r="J3" s="113"/>
      <c r="K3" s="113"/>
      <c r="L3" s="113"/>
      <c r="M3" s="113"/>
      <c r="N3" s="113"/>
      <c r="O3" s="113"/>
    </row>
    <row r="4" spans="1:15" x14ac:dyDescent="0.3">
      <c r="A4" s="6" t="s">
        <v>0</v>
      </c>
      <c r="B4" s="6" t="s">
        <v>1</v>
      </c>
      <c r="C4" s="7" t="s">
        <v>4</v>
      </c>
      <c r="D4" s="7" t="s">
        <v>21</v>
      </c>
      <c r="E4" s="7" t="s">
        <v>8</v>
      </c>
      <c r="F4" s="7" t="s">
        <v>16</v>
      </c>
      <c r="G4" s="20" t="s">
        <v>17</v>
      </c>
      <c r="I4" s="6" t="s">
        <v>0</v>
      </c>
      <c r="J4" s="6" t="s">
        <v>1</v>
      </c>
      <c r="K4" s="7" t="s">
        <v>4</v>
      </c>
      <c r="L4" s="7" t="s">
        <v>21</v>
      </c>
      <c r="M4" s="7" t="s">
        <v>8</v>
      </c>
      <c r="N4" s="7" t="s">
        <v>16</v>
      </c>
      <c r="O4" s="7" t="s">
        <v>12</v>
      </c>
    </row>
    <row r="5" spans="1:15" x14ac:dyDescent="0.3">
      <c r="A5" s="41">
        <v>46114</v>
      </c>
      <c r="B5" s="42" t="s">
        <v>2</v>
      </c>
      <c r="C5" s="44">
        <v>7000</v>
      </c>
      <c r="D5" s="44">
        <v>7000</v>
      </c>
      <c r="E5" s="45"/>
      <c r="F5" s="42" t="s">
        <v>160</v>
      </c>
      <c r="G5" s="31"/>
      <c r="I5" s="49">
        <v>45988</v>
      </c>
      <c r="J5" s="50" t="s">
        <v>2</v>
      </c>
      <c r="K5" s="51">
        <v>34240</v>
      </c>
      <c r="L5" s="51">
        <v>32392</v>
      </c>
      <c r="M5" s="51">
        <v>1848</v>
      </c>
      <c r="N5" s="50" t="s">
        <v>13</v>
      </c>
      <c r="O5" s="12"/>
    </row>
    <row r="6" spans="1:15" x14ac:dyDescent="0.3">
      <c r="A6" s="41">
        <v>46119</v>
      </c>
      <c r="B6" s="42" t="s">
        <v>87</v>
      </c>
      <c r="C6" s="44">
        <v>6400</v>
      </c>
      <c r="D6" s="44">
        <v>6400</v>
      </c>
      <c r="E6" s="45"/>
      <c r="F6" s="42" t="s">
        <v>95</v>
      </c>
      <c r="G6" s="31"/>
      <c r="I6" s="41">
        <v>46063</v>
      </c>
      <c r="J6" s="42" t="s">
        <v>3</v>
      </c>
      <c r="K6" s="44">
        <v>24000</v>
      </c>
      <c r="L6" s="44">
        <v>24000</v>
      </c>
      <c r="M6" s="42" t="s">
        <v>105</v>
      </c>
      <c r="N6" s="42" t="s">
        <v>113</v>
      </c>
      <c r="O6" s="15"/>
    </row>
    <row r="7" spans="1:15" x14ac:dyDescent="0.3">
      <c r="A7" s="41">
        <v>46122</v>
      </c>
      <c r="B7" s="42" t="s">
        <v>3</v>
      </c>
      <c r="C7" s="44">
        <v>3500</v>
      </c>
      <c r="D7" s="44">
        <v>3500</v>
      </c>
      <c r="E7" s="45"/>
      <c r="F7" s="42" t="s">
        <v>161</v>
      </c>
      <c r="G7" s="10"/>
      <c r="I7" s="45"/>
      <c r="J7" s="45"/>
      <c r="K7" s="45"/>
      <c r="L7" s="45"/>
      <c r="M7" s="51">
        <v>1848</v>
      </c>
      <c r="N7" s="45"/>
      <c r="O7" s="15"/>
    </row>
    <row r="8" spans="1:15" x14ac:dyDescent="0.3">
      <c r="A8" s="41">
        <v>46125</v>
      </c>
      <c r="B8" s="42" t="s">
        <v>3</v>
      </c>
      <c r="C8" s="44">
        <v>2500</v>
      </c>
      <c r="D8" s="44">
        <v>2500</v>
      </c>
      <c r="E8" s="45"/>
      <c r="F8" s="42" t="s">
        <v>162</v>
      </c>
      <c r="G8" s="10"/>
      <c r="I8" s="27"/>
      <c r="J8" s="15"/>
      <c r="K8" s="12"/>
      <c r="L8" s="12"/>
      <c r="M8" s="37"/>
      <c r="N8" s="12"/>
      <c r="O8" s="15"/>
    </row>
    <row r="9" spans="1:15" x14ac:dyDescent="0.3">
      <c r="A9" s="41">
        <v>46127</v>
      </c>
      <c r="B9" s="42" t="s">
        <v>3</v>
      </c>
      <c r="C9" s="44">
        <v>3500</v>
      </c>
      <c r="D9" s="44">
        <v>3500</v>
      </c>
      <c r="E9" s="45"/>
      <c r="F9" s="42" t="s">
        <v>163</v>
      </c>
      <c r="G9" s="10"/>
      <c r="I9" s="27"/>
      <c r="J9" s="15"/>
      <c r="K9" s="12"/>
      <c r="L9" s="12"/>
      <c r="M9" s="37"/>
      <c r="N9" s="12"/>
      <c r="O9" s="15"/>
    </row>
    <row r="10" spans="1:15" x14ac:dyDescent="0.3">
      <c r="A10" s="41">
        <v>46129</v>
      </c>
      <c r="B10" s="42" t="s">
        <v>3</v>
      </c>
      <c r="C10" s="44">
        <v>2000</v>
      </c>
      <c r="D10" s="44">
        <v>2000</v>
      </c>
      <c r="E10" s="45"/>
      <c r="F10" s="42" t="s">
        <v>164</v>
      </c>
      <c r="G10" s="35"/>
      <c r="I10" s="27"/>
      <c r="J10" s="15"/>
      <c r="K10" s="12"/>
      <c r="L10" s="12"/>
      <c r="M10" s="37"/>
      <c r="N10" s="12"/>
      <c r="O10" s="15"/>
    </row>
    <row r="11" spans="1:15" x14ac:dyDescent="0.3">
      <c r="A11" s="41">
        <v>46135</v>
      </c>
      <c r="B11" s="42" t="s">
        <v>3</v>
      </c>
      <c r="C11" s="44">
        <v>2000</v>
      </c>
      <c r="D11" s="44">
        <v>2000</v>
      </c>
      <c r="E11" s="45"/>
      <c r="F11" s="42" t="s">
        <v>165</v>
      </c>
      <c r="G11" s="10"/>
      <c r="I11" s="27"/>
      <c r="J11" s="15"/>
      <c r="K11" s="12"/>
      <c r="L11" s="12"/>
      <c r="M11" s="37"/>
      <c r="N11" s="12"/>
      <c r="O11" s="15"/>
    </row>
    <row r="12" spans="1:15" x14ac:dyDescent="0.3">
      <c r="A12" s="41">
        <v>46139</v>
      </c>
      <c r="B12" s="42" t="s">
        <v>3</v>
      </c>
      <c r="C12" s="44">
        <v>2000</v>
      </c>
      <c r="D12" s="44">
        <v>2000</v>
      </c>
      <c r="E12" s="45"/>
      <c r="F12" s="42" t="s">
        <v>166</v>
      </c>
      <c r="G12" s="35"/>
      <c r="I12" s="15"/>
      <c r="J12" s="22"/>
      <c r="K12" s="38"/>
      <c r="L12" s="38"/>
      <c r="M12" s="38"/>
      <c r="N12" s="38"/>
      <c r="O12" s="15"/>
    </row>
    <row r="13" spans="1:15" x14ac:dyDescent="0.3">
      <c r="A13" s="6"/>
      <c r="B13" s="6"/>
      <c r="C13" s="7">
        <f>SUM(C5:C12)</f>
        <v>28900</v>
      </c>
      <c r="D13" s="7">
        <f>SUM(D5:D12)</f>
        <v>28900</v>
      </c>
      <c r="E13" s="7">
        <f>C13-D13</f>
        <v>0</v>
      </c>
      <c r="F13" s="7"/>
      <c r="G13" s="7"/>
    </row>
    <row r="14" spans="1:15" x14ac:dyDescent="0.3">
      <c r="A14" s="28"/>
    </row>
    <row r="15" spans="1:15" x14ac:dyDescent="0.3">
      <c r="A15" s="28"/>
    </row>
    <row r="16" spans="1:15" ht="15.6" x14ac:dyDescent="0.3">
      <c r="A16" s="113" t="s">
        <v>20</v>
      </c>
      <c r="B16" s="113"/>
      <c r="C16" s="113"/>
      <c r="D16" s="113"/>
      <c r="E16" s="113"/>
      <c r="F16" s="113"/>
      <c r="G16" s="113"/>
    </row>
    <row r="17" spans="1:7" x14ac:dyDescent="0.3">
      <c r="A17" s="6" t="s">
        <v>0</v>
      </c>
      <c r="B17" s="6" t="s">
        <v>1</v>
      </c>
      <c r="C17" s="7" t="s">
        <v>4</v>
      </c>
      <c r="D17" s="7" t="s">
        <v>12</v>
      </c>
      <c r="E17" s="6"/>
      <c r="F17" s="6"/>
      <c r="G17" s="6"/>
    </row>
    <row r="18" spans="1:7" x14ac:dyDescent="0.3">
      <c r="A18" s="41">
        <v>46114</v>
      </c>
      <c r="B18" s="42" t="s">
        <v>10</v>
      </c>
      <c r="C18" s="42">
        <v>110</v>
      </c>
      <c r="D18" s="15"/>
      <c r="E18" s="15"/>
      <c r="F18" s="22"/>
      <c r="G18" s="21"/>
    </row>
    <row r="19" spans="1:7" x14ac:dyDescent="0.3">
      <c r="A19" s="41">
        <v>46114</v>
      </c>
      <c r="B19" s="42" t="s">
        <v>24</v>
      </c>
      <c r="C19" s="44">
        <v>1000</v>
      </c>
      <c r="D19" s="15"/>
      <c r="E19" s="15"/>
      <c r="F19" s="22"/>
      <c r="G19" s="21"/>
    </row>
    <row r="20" spans="1:7" x14ac:dyDescent="0.3">
      <c r="A20" s="41">
        <v>46119</v>
      </c>
      <c r="B20" s="42" t="s">
        <v>10</v>
      </c>
      <c r="C20" s="42">
        <v>110</v>
      </c>
      <c r="D20" s="15"/>
      <c r="E20" s="15"/>
      <c r="F20" s="22"/>
      <c r="G20" s="21"/>
    </row>
    <row r="21" spans="1:7" x14ac:dyDescent="0.3">
      <c r="A21" s="41">
        <v>46119</v>
      </c>
      <c r="B21" s="42" t="s">
        <v>24</v>
      </c>
      <c r="C21" s="44">
        <v>1000</v>
      </c>
      <c r="D21" s="15"/>
      <c r="E21" s="15"/>
      <c r="F21" s="22"/>
      <c r="G21" s="21"/>
    </row>
    <row r="22" spans="1:7" x14ac:dyDescent="0.3">
      <c r="A22" s="41">
        <v>46122</v>
      </c>
      <c r="B22" s="42" t="s">
        <v>10</v>
      </c>
      <c r="C22" s="42">
        <v>110</v>
      </c>
      <c r="D22" s="15"/>
      <c r="E22" s="15"/>
      <c r="F22" s="22"/>
      <c r="G22" s="21"/>
    </row>
    <row r="23" spans="1:7" x14ac:dyDescent="0.3">
      <c r="A23" s="41">
        <v>46122</v>
      </c>
      <c r="B23" s="42" t="s">
        <v>24</v>
      </c>
      <c r="C23" s="44">
        <v>1000</v>
      </c>
      <c r="D23" s="15"/>
      <c r="E23" s="15"/>
      <c r="F23" s="22"/>
      <c r="G23" s="21"/>
    </row>
    <row r="24" spans="1:7" x14ac:dyDescent="0.3">
      <c r="A24" s="41">
        <v>46125</v>
      </c>
      <c r="B24" s="42" t="s">
        <v>10</v>
      </c>
      <c r="C24" s="42">
        <v>110</v>
      </c>
      <c r="D24" s="15"/>
      <c r="E24" s="15"/>
      <c r="F24" s="22"/>
      <c r="G24" s="21"/>
    </row>
    <row r="25" spans="1:7" x14ac:dyDescent="0.3">
      <c r="A25" s="41">
        <v>46125</v>
      </c>
      <c r="B25" s="42" t="s">
        <v>24</v>
      </c>
      <c r="C25" s="44">
        <v>1000</v>
      </c>
      <c r="D25" s="15"/>
      <c r="E25" s="15"/>
      <c r="F25" s="22"/>
      <c r="G25" s="21"/>
    </row>
    <row r="26" spans="1:7" x14ac:dyDescent="0.3">
      <c r="A26" s="41">
        <v>46127</v>
      </c>
      <c r="B26" s="42" t="s">
        <v>10</v>
      </c>
      <c r="C26" s="42">
        <v>110</v>
      </c>
      <c r="D26" s="15"/>
      <c r="E26" s="15"/>
      <c r="F26" s="22"/>
      <c r="G26" s="21"/>
    </row>
    <row r="27" spans="1:7" x14ac:dyDescent="0.3">
      <c r="A27" s="41">
        <v>46127</v>
      </c>
      <c r="B27" s="42" t="s">
        <v>24</v>
      </c>
      <c r="C27" s="44">
        <v>1310</v>
      </c>
      <c r="D27" s="15"/>
      <c r="E27" s="15"/>
      <c r="F27" s="22"/>
      <c r="G27" s="21"/>
    </row>
    <row r="28" spans="1:7" x14ac:dyDescent="0.3">
      <c r="A28" s="41">
        <v>46128</v>
      </c>
      <c r="B28" s="42" t="s">
        <v>10</v>
      </c>
      <c r="C28" s="42">
        <v>110</v>
      </c>
      <c r="D28" s="15"/>
      <c r="E28" s="15"/>
      <c r="F28" s="22"/>
      <c r="G28" s="21"/>
    </row>
    <row r="29" spans="1:7" x14ac:dyDescent="0.3">
      <c r="A29" s="41">
        <v>46128</v>
      </c>
      <c r="B29" s="42" t="s">
        <v>24</v>
      </c>
      <c r="C29" s="44">
        <v>1000</v>
      </c>
      <c r="D29" s="15"/>
      <c r="E29" s="15"/>
      <c r="F29" s="22"/>
      <c r="G29" s="21"/>
    </row>
    <row r="30" spans="1:7" x14ac:dyDescent="0.3">
      <c r="A30" s="41">
        <v>46129</v>
      </c>
      <c r="B30" s="42" t="s">
        <v>10</v>
      </c>
      <c r="C30" s="42">
        <v>110</v>
      </c>
      <c r="D30" s="15"/>
      <c r="E30" s="15"/>
      <c r="F30" s="22"/>
      <c r="G30" s="21"/>
    </row>
    <row r="31" spans="1:7" x14ac:dyDescent="0.3">
      <c r="A31" s="41">
        <v>46129</v>
      </c>
      <c r="B31" s="42" t="s">
        <v>24</v>
      </c>
      <c r="C31" s="44">
        <v>1000</v>
      </c>
      <c r="D31" s="15"/>
      <c r="E31" s="15"/>
      <c r="F31" s="22"/>
      <c r="G31" s="21"/>
    </row>
    <row r="32" spans="1:7" x14ac:dyDescent="0.3">
      <c r="A32" s="41">
        <v>46132</v>
      </c>
      <c r="B32" s="42" t="s">
        <v>10</v>
      </c>
      <c r="C32" s="42">
        <v>86</v>
      </c>
      <c r="D32" s="15"/>
      <c r="E32" s="15"/>
      <c r="F32" s="22"/>
      <c r="G32" s="21"/>
    </row>
    <row r="33" spans="1:10" x14ac:dyDescent="0.3">
      <c r="A33" s="41">
        <v>46132</v>
      </c>
      <c r="B33" s="42" t="s">
        <v>24</v>
      </c>
      <c r="C33" s="42">
        <v>660</v>
      </c>
      <c r="D33" s="15"/>
      <c r="E33" s="15"/>
      <c r="F33" s="22"/>
      <c r="G33" s="21"/>
    </row>
    <row r="34" spans="1:10" x14ac:dyDescent="0.3">
      <c r="A34" s="41">
        <v>46135</v>
      </c>
      <c r="B34" s="42" t="s">
        <v>10</v>
      </c>
      <c r="C34" s="42">
        <v>110</v>
      </c>
    </row>
    <row r="35" spans="1:10" x14ac:dyDescent="0.3">
      <c r="A35" s="41">
        <v>46135</v>
      </c>
      <c r="B35" s="42" t="s">
        <v>24</v>
      </c>
      <c r="C35" s="44">
        <v>1000</v>
      </c>
    </row>
    <row r="36" spans="1:10" x14ac:dyDescent="0.3">
      <c r="A36" s="41">
        <v>46139</v>
      </c>
      <c r="B36" s="42" t="s">
        <v>10</v>
      </c>
      <c r="C36" s="42">
        <v>110</v>
      </c>
      <c r="D36" s="96"/>
      <c r="E36" s="96"/>
      <c r="F36" s="96"/>
      <c r="G36" s="96"/>
    </row>
    <row r="37" spans="1:10" x14ac:dyDescent="0.3">
      <c r="A37" s="41">
        <v>46139</v>
      </c>
      <c r="B37" s="42" t="s">
        <v>24</v>
      </c>
      <c r="C37" s="44">
        <v>1000</v>
      </c>
    </row>
    <row r="38" spans="1:10" x14ac:dyDescent="0.3">
      <c r="A38" s="6"/>
      <c r="B38" s="6"/>
      <c r="C38" s="7">
        <f>SUM(C18:C37)</f>
        <v>11046</v>
      </c>
      <c r="D38" s="7">
        <f>SUM(D32:D37)</f>
        <v>0</v>
      </c>
      <c r="E38" s="7">
        <f>C38-D38</f>
        <v>11046</v>
      </c>
      <c r="F38" s="7"/>
      <c r="G38" s="7"/>
    </row>
    <row r="39" spans="1:10" x14ac:dyDescent="0.3">
      <c r="A39" s="28"/>
    </row>
    <row r="40" spans="1:10" ht="15.6" x14ac:dyDescent="0.3">
      <c r="A40" s="113" t="s">
        <v>27</v>
      </c>
      <c r="B40" s="113"/>
      <c r="C40" s="113"/>
      <c r="D40" s="113"/>
      <c r="E40" s="113"/>
      <c r="F40" s="113"/>
      <c r="G40" s="113"/>
    </row>
    <row r="41" spans="1:10" ht="15.6" x14ac:dyDescent="0.3">
      <c r="A41" s="113" t="s">
        <v>32</v>
      </c>
      <c r="B41" s="113"/>
      <c r="C41" s="113"/>
      <c r="D41" s="113"/>
      <c r="E41" s="113"/>
      <c r="F41" s="113"/>
      <c r="G41" s="113"/>
    </row>
    <row r="42" spans="1:10" x14ac:dyDescent="0.3">
      <c r="A42" s="6" t="s">
        <v>0</v>
      </c>
      <c r="B42" s="6" t="s">
        <v>1</v>
      </c>
      <c r="C42" s="7" t="s">
        <v>4</v>
      </c>
      <c r="D42" s="7" t="s">
        <v>11</v>
      </c>
      <c r="E42" s="7"/>
      <c r="F42" s="7"/>
      <c r="G42" s="7"/>
      <c r="J42" s="30"/>
    </row>
    <row r="43" spans="1:10" x14ac:dyDescent="0.3">
      <c r="A43" s="28"/>
      <c r="C43" s="9"/>
    </row>
    <row r="44" spans="1:10" x14ac:dyDescent="0.3">
      <c r="A44" s="28"/>
      <c r="C44" s="9"/>
    </row>
    <row r="45" spans="1:10" x14ac:dyDescent="0.3">
      <c r="A45" s="28"/>
      <c r="C45" s="9"/>
    </row>
    <row r="46" spans="1:10" x14ac:dyDescent="0.3">
      <c r="A46" s="28"/>
      <c r="C46" s="9"/>
    </row>
    <row r="47" spans="1:10" x14ac:dyDescent="0.3">
      <c r="A47" s="28"/>
      <c r="C47" s="9"/>
    </row>
    <row r="48" spans="1:10" x14ac:dyDescent="0.3">
      <c r="A48" s="28"/>
      <c r="C48" s="9"/>
    </row>
    <row r="49" spans="1:7" x14ac:dyDescent="0.3">
      <c r="A49" s="28"/>
      <c r="C49" s="9"/>
    </row>
    <row r="50" spans="1:7" x14ac:dyDescent="0.3">
      <c r="A50" s="6"/>
      <c r="B50" s="6"/>
      <c r="C50" s="7">
        <f>SUM(C42:C49)</f>
        <v>0</v>
      </c>
      <c r="D50" s="7"/>
      <c r="E50" s="7"/>
      <c r="F50" s="7"/>
      <c r="G50" s="7"/>
    </row>
    <row r="51" spans="1:7" x14ac:dyDescent="0.3">
      <c r="A51" s="28"/>
    </row>
    <row r="52" spans="1:7" ht="15.6" x14ac:dyDescent="0.3">
      <c r="A52" s="113" t="s">
        <v>22</v>
      </c>
      <c r="B52" s="113"/>
      <c r="C52" s="113"/>
      <c r="D52" s="113"/>
      <c r="E52" s="113"/>
      <c r="F52" s="113"/>
      <c r="G52" s="113"/>
    </row>
    <row r="53" spans="1:7" x14ac:dyDescent="0.3">
      <c r="A53" s="6" t="s">
        <v>0</v>
      </c>
      <c r="B53" s="6" t="s">
        <v>1</v>
      </c>
      <c r="C53" s="7" t="s">
        <v>4</v>
      </c>
      <c r="D53" s="7" t="s">
        <v>11</v>
      </c>
      <c r="E53" s="7"/>
      <c r="F53" s="7"/>
      <c r="G53" s="7"/>
    </row>
    <row r="54" spans="1:7" x14ac:dyDescent="0.3">
      <c r="A54" s="28">
        <v>46128</v>
      </c>
      <c r="B54" s="2" t="s">
        <v>228</v>
      </c>
      <c r="C54" s="3">
        <v>24</v>
      </c>
      <c r="D54" s="2" t="s">
        <v>227</v>
      </c>
    </row>
    <row r="55" spans="1:7" x14ac:dyDescent="0.3">
      <c r="A55" s="28">
        <v>46140</v>
      </c>
      <c r="B55" s="2" t="s">
        <v>228</v>
      </c>
      <c r="C55" s="3">
        <v>24</v>
      </c>
      <c r="D55" s="2" t="s">
        <v>227</v>
      </c>
    </row>
    <row r="56" spans="1:7" x14ac:dyDescent="0.3">
      <c r="A56" s="41">
        <v>46127</v>
      </c>
      <c r="B56" s="42" t="s">
        <v>235</v>
      </c>
      <c r="C56" s="45">
        <v>164.52</v>
      </c>
      <c r="D56" s="42" t="s">
        <v>81</v>
      </c>
    </row>
    <row r="57" spans="1:7" x14ac:dyDescent="0.3">
      <c r="A57" s="28"/>
    </row>
    <row r="58" spans="1:7" x14ac:dyDescent="0.3">
      <c r="A58" s="28"/>
    </row>
    <row r="59" spans="1:7" x14ac:dyDescent="0.3">
      <c r="A59" s="28"/>
    </row>
    <row r="60" spans="1:7" x14ac:dyDescent="0.3">
      <c r="A60" s="28"/>
    </row>
    <row r="61" spans="1:7" x14ac:dyDescent="0.3">
      <c r="A61" s="6"/>
      <c r="B61" s="6"/>
      <c r="C61" s="7">
        <f>SUM(C54:C60)</f>
        <v>212.52</v>
      </c>
      <c r="D61" s="7"/>
      <c r="E61" s="7"/>
      <c r="F61" s="7"/>
      <c r="G61" s="7"/>
    </row>
    <row r="62" spans="1:7" x14ac:dyDescent="0.3">
      <c r="A62" s="28"/>
      <c r="C62" s="5"/>
    </row>
    <row r="63" spans="1:7" ht="15.6" x14ac:dyDescent="0.3">
      <c r="A63" s="113" t="s">
        <v>23</v>
      </c>
      <c r="B63" s="113"/>
      <c r="C63" s="113"/>
      <c r="D63" s="113"/>
      <c r="E63" s="113"/>
      <c r="F63" s="113"/>
      <c r="G63" s="113"/>
    </row>
    <row r="64" spans="1:7" x14ac:dyDescent="0.3">
      <c r="A64" s="6" t="s">
        <v>0</v>
      </c>
      <c r="B64" s="6" t="s">
        <v>1</v>
      </c>
      <c r="C64" s="7" t="s">
        <v>4</v>
      </c>
      <c r="D64" s="7" t="s">
        <v>12</v>
      </c>
      <c r="E64" s="7"/>
      <c r="F64" s="7"/>
      <c r="G64" s="7"/>
    </row>
    <row r="65" spans="1:7" x14ac:dyDescent="0.3">
      <c r="A65" s="28">
        <v>46023</v>
      </c>
      <c r="B65" s="2" t="s">
        <v>5</v>
      </c>
      <c r="C65" s="9">
        <v>2212</v>
      </c>
      <c r="D65" s="2" t="s">
        <v>81</v>
      </c>
    </row>
    <row r="66" spans="1:7" x14ac:dyDescent="0.3">
      <c r="A66" s="28">
        <v>46025</v>
      </c>
      <c r="B66" s="2" t="s">
        <v>36</v>
      </c>
      <c r="C66" s="9">
        <v>1000</v>
      </c>
      <c r="D66" s="2" t="s">
        <v>81</v>
      </c>
    </row>
    <row r="67" spans="1:7" x14ac:dyDescent="0.3">
      <c r="A67" s="28">
        <v>46027</v>
      </c>
      <c r="B67" s="2" t="s">
        <v>19</v>
      </c>
      <c r="C67" s="9">
        <v>1580</v>
      </c>
      <c r="D67" s="2" t="s">
        <v>81</v>
      </c>
    </row>
    <row r="68" spans="1:7" x14ac:dyDescent="0.3">
      <c r="A68" s="27">
        <v>46030</v>
      </c>
      <c r="B68" s="15" t="s">
        <v>33</v>
      </c>
      <c r="C68" s="12">
        <v>153.26</v>
      </c>
      <c r="D68" s="15" t="s">
        <v>81</v>
      </c>
    </row>
    <row r="69" spans="1:7" x14ac:dyDescent="0.3">
      <c r="A69" s="28">
        <v>46122</v>
      </c>
      <c r="B69" s="2" t="s">
        <v>6</v>
      </c>
      <c r="C69" s="9">
        <v>181.06</v>
      </c>
      <c r="D69" s="2" t="s">
        <v>81</v>
      </c>
    </row>
    <row r="70" spans="1:7" x14ac:dyDescent="0.3">
      <c r="A70" s="29">
        <v>46034</v>
      </c>
      <c r="B70" s="23" t="s">
        <v>14</v>
      </c>
      <c r="C70" s="24">
        <v>400</v>
      </c>
      <c r="D70" s="23"/>
    </row>
    <row r="71" spans="1:7" x14ac:dyDescent="0.3">
      <c r="A71" s="28">
        <v>46037</v>
      </c>
      <c r="B71" s="2" t="s">
        <v>39</v>
      </c>
      <c r="C71" s="9">
        <v>644.28</v>
      </c>
      <c r="D71" s="2" t="s">
        <v>81</v>
      </c>
    </row>
    <row r="72" spans="1:7" x14ac:dyDescent="0.3">
      <c r="A72" s="29">
        <v>46039</v>
      </c>
      <c r="B72" s="23" t="s">
        <v>7</v>
      </c>
      <c r="C72" s="24">
        <v>409.9</v>
      </c>
      <c r="D72" s="23"/>
    </row>
    <row r="73" spans="1:7" x14ac:dyDescent="0.3">
      <c r="A73" s="29">
        <v>46040</v>
      </c>
      <c r="B73" s="23" t="s">
        <v>15</v>
      </c>
      <c r="C73" s="24">
        <v>941.6</v>
      </c>
      <c r="D73" s="23"/>
    </row>
    <row r="74" spans="1:7" x14ac:dyDescent="0.3">
      <c r="A74" s="27">
        <v>46132</v>
      </c>
      <c r="B74" s="15" t="s">
        <v>18</v>
      </c>
      <c r="C74" s="12">
        <v>2947.28</v>
      </c>
      <c r="D74" s="15" t="s">
        <v>81</v>
      </c>
    </row>
    <row r="75" spans="1:7" x14ac:dyDescent="0.3">
      <c r="A75" s="27">
        <v>46132</v>
      </c>
      <c r="B75" s="15" t="s">
        <v>239</v>
      </c>
      <c r="C75" s="12">
        <v>313.37</v>
      </c>
      <c r="D75" s="15" t="s">
        <v>81</v>
      </c>
    </row>
    <row r="76" spans="1:7" x14ac:dyDescent="0.3">
      <c r="A76" s="27">
        <v>46142</v>
      </c>
      <c r="B76" s="15" t="s">
        <v>240</v>
      </c>
      <c r="C76" s="12">
        <v>506.99</v>
      </c>
      <c r="D76" s="15" t="s">
        <v>81</v>
      </c>
    </row>
    <row r="77" spans="1:7" x14ac:dyDescent="0.3">
      <c r="A77" s="29">
        <v>46052</v>
      </c>
      <c r="B77" s="23" t="s">
        <v>34</v>
      </c>
      <c r="C77" s="24">
        <v>200</v>
      </c>
      <c r="D77" s="23"/>
    </row>
    <row r="78" spans="1:7" x14ac:dyDescent="0.3">
      <c r="A78" s="29">
        <v>46052</v>
      </c>
      <c r="B78" s="23" t="s">
        <v>25</v>
      </c>
      <c r="C78" s="24">
        <v>3000</v>
      </c>
      <c r="D78" s="23"/>
    </row>
    <row r="79" spans="1:7" x14ac:dyDescent="0.3">
      <c r="A79" s="29">
        <v>46052</v>
      </c>
      <c r="B79" s="23" t="s">
        <v>30</v>
      </c>
      <c r="C79" s="24">
        <f>C13*10%</f>
        <v>2890</v>
      </c>
      <c r="D79" s="23"/>
    </row>
    <row r="80" spans="1:7" x14ac:dyDescent="0.3">
      <c r="A80" s="6"/>
      <c r="B80" s="6"/>
      <c r="C80" s="7">
        <f>SUM(C65:C79)</f>
        <v>17379.740000000002</v>
      </c>
      <c r="D80" s="6"/>
      <c r="E80" s="6"/>
      <c r="F80" s="6"/>
      <c r="G80" s="6"/>
    </row>
    <row r="81" spans="1:10" x14ac:dyDescent="0.3">
      <c r="A81" s="28"/>
    </row>
    <row r="82" spans="1:10" ht="15.6" x14ac:dyDescent="0.3">
      <c r="A82" s="113" t="s">
        <v>82</v>
      </c>
      <c r="B82" s="113"/>
      <c r="C82" s="113"/>
      <c r="D82" s="113"/>
      <c r="E82" s="113"/>
      <c r="F82" s="113"/>
      <c r="G82" s="113"/>
    </row>
    <row r="83" spans="1:10" x14ac:dyDescent="0.3">
      <c r="A83" s="6" t="s">
        <v>0</v>
      </c>
      <c r="B83" s="6" t="s">
        <v>1</v>
      </c>
      <c r="C83" s="7" t="s">
        <v>4</v>
      </c>
      <c r="D83" s="7" t="s">
        <v>12</v>
      </c>
      <c r="E83" s="6"/>
      <c r="F83" s="6"/>
      <c r="G83" s="6"/>
    </row>
    <row r="84" spans="1:10" x14ac:dyDescent="0.3">
      <c r="A84" s="28"/>
      <c r="C84" s="9"/>
    </row>
    <row r="85" spans="1:10" x14ac:dyDescent="0.3">
      <c r="A85" s="28"/>
      <c r="C85" s="9"/>
      <c r="J85" s="9"/>
    </row>
    <row r="86" spans="1:10" x14ac:dyDescent="0.3">
      <c r="A86" s="29"/>
      <c r="B86" s="23"/>
      <c r="C86" s="24"/>
      <c r="D86" s="23"/>
      <c r="E86" s="23"/>
    </row>
    <row r="87" spans="1:10" x14ac:dyDescent="0.3">
      <c r="A87" s="28"/>
      <c r="C87" s="9"/>
    </row>
    <row r="88" spans="1:10" x14ac:dyDescent="0.3">
      <c r="A88" s="28"/>
      <c r="C88" s="9"/>
    </row>
    <row r="89" spans="1:10" x14ac:dyDescent="0.3">
      <c r="A89" s="6"/>
      <c r="B89" s="6"/>
      <c r="C89" s="7">
        <f>SUM(C84:C87)</f>
        <v>0</v>
      </c>
      <c r="D89" s="6"/>
      <c r="E89" s="6"/>
      <c r="F89" s="6"/>
      <c r="G89" s="6"/>
    </row>
    <row r="90" spans="1:10" x14ac:dyDescent="0.3">
      <c r="A90" s="28"/>
      <c r="C90" s="16"/>
    </row>
    <row r="91" spans="1:10" x14ac:dyDescent="0.3">
      <c r="A91" s="27"/>
      <c r="B91" s="15"/>
      <c r="C91" s="12"/>
      <c r="D91" s="15"/>
      <c r="E91" s="15"/>
      <c r="F91" s="22"/>
      <c r="G91" s="21"/>
    </row>
    <row r="92" spans="1:10" x14ac:dyDescent="0.3">
      <c r="A92" s="27"/>
      <c r="B92" s="15"/>
      <c r="C92" s="12"/>
      <c r="D92" s="15"/>
      <c r="E92" s="15"/>
      <c r="F92" s="22"/>
      <c r="G92" s="21"/>
    </row>
    <row r="94" spans="1:10" x14ac:dyDescent="0.3">
      <c r="B94" s="4"/>
      <c r="C94" s="5"/>
      <c r="D94" s="4"/>
    </row>
    <row r="95" spans="1:10" x14ac:dyDescent="0.3">
      <c r="B95" s="4" t="s">
        <v>26</v>
      </c>
      <c r="C95" s="5">
        <f>C13</f>
        <v>28900</v>
      </c>
      <c r="D95" s="4"/>
    </row>
    <row r="96" spans="1:10" x14ac:dyDescent="0.3">
      <c r="B96" s="4" t="s">
        <v>27</v>
      </c>
      <c r="C96" s="5" t="e">
        <f>C50+C61+C80+C89+#REF!</f>
        <v>#REF!</v>
      </c>
    </row>
    <row r="97" spans="2:3" x14ac:dyDescent="0.3">
      <c r="B97" s="4" t="s">
        <v>28</v>
      </c>
      <c r="C97" s="5" t="e">
        <f>C95-C96</f>
        <v>#REF!</v>
      </c>
    </row>
    <row r="98" spans="2:3" x14ac:dyDescent="0.3">
      <c r="B98" s="4" t="s">
        <v>31</v>
      </c>
      <c r="C98" s="5" t="e">
        <f>C79+C97</f>
        <v>#REF!</v>
      </c>
    </row>
  </sheetData>
  <mergeCells count="9">
    <mergeCell ref="A1:O1"/>
    <mergeCell ref="A63:G63"/>
    <mergeCell ref="A82:G82"/>
    <mergeCell ref="A3:G3"/>
    <mergeCell ref="I3:O3"/>
    <mergeCell ref="A16:G16"/>
    <mergeCell ref="A40:G40"/>
    <mergeCell ref="A41:G41"/>
    <mergeCell ref="A52:G5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C740-3185-47E2-AFF4-6D4BB38ACA55}">
  <dimension ref="A1:O103"/>
  <sheetViews>
    <sheetView showGridLines="0" workbookViewId="0">
      <selection activeCell="K17" sqref="K17"/>
    </sheetView>
  </sheetViews>
  <sheetFormatPr defaultRowHeight="14.4" x14ac:dyDescent="0.3"/>
  <cols>
    <col min="1" max="1" width="10.6640625" style="2" customWidth="1"/>
    <col min="2" max="2" width="15.88671875" style="2" bestFit="1" customWidth="1"/>
    <col min="3" max="3" width="11.44140625" style="3" bestFit="1" customWidth="1"/>
    <col min="4" max="4" width="11.5546875" style="2" bestFit="1" customWidth="1"/>
    <col min="5" max="5" width="11.44140625" style="2" bestFit="1" customWidth="1"/>
    <col min="6" max="6" width="13.33203125" style="3" bestFit="1" customWidth="1"/>
    <col min="7" max="7" width="9.5546875" style="11" bestFit="1" customWidth="1"/>
    <col min="9" max="9" width="10.6640625" style="2" bestFit="1" customWidth="1"/>
    <col min="10" max="10" width="12.88671875" style="3" bestFit="1" customWidth="1"/>
    <col min="11" max="11" width="11.44140625" style="2" bestFit="1" customWidth="1"/>
    <col min="12" max="12" width="10.5546875" style="2" bestFit="1" customWidth="1"/>
    <col min="13" max="13" width="10.33203125" style="2" bestFit="1" customWidth="1"/>
    <col min="14" max="14" width="11.44140625" style="2" bestFit="1" customWidth="1"/>
    <col min="15" max="15" width="8.88671875" style="2"/>
  </cols>
  <sheetData>
    <row r="1" spans="1:15" ht="21" customHeight="1" x14ac:dyDescent="0.3">
      <c r="A1" s="114" t="s">
        <v>193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3" spans="1:15" ht="15.6" x14ac:dyDescent="0.3">
      <c r="A3" s="113" t="s">
        <v>26</v>
      </c>
      <c r="B3" s="113"/>
      <c r="C3" s="113"/>
      <c r="D3" s="113"/>
      <c r="E3" s="113"/>
      <c r="F3" s="113"/>
      <c r="G3" s="113"/>
      <c r="I3" s="113" t="s">
        <v>35</v>
      </c>
      <c r="J3" s="113"/>
      <c r="K3" s="113"/>
      <c r="L3" s="113"/>
      <c r="M3" s="113"/>
      <c r="N3" s="113"/>
      <c r="O3" s="113"/>
    </row>
    <row r="4" spans="1:15" x14ac:dyDescent="0.3">
      <c r="A4" s="6" t="s">
        <v>0</v>
      </c>
      <c r="B4" s="6" t="s">
        <v>1</v>
      </c>
      <c r="C4" s="7" t="s">
        <v>4</v>
      </c>
      <c r="D4" s="7" t="s">
        <v>21</v>
      </c>
      <c r="E4" s="7" t="s">
        <v>8</v>
      </c>
      <c r="F4" s="7" t="s">
        <v>16</v>
      </c>
      <c r="G4" s="20" t="s">
        <v>17</v>
      </c>
      <c r="I4" s="6" t="s">
        <v>0</v>
      </c>
      <c r="J4" s="6" t="s">
        <v>1</v>
      </c>
      <c r="K4" s="7" t="s">
        <v>4</v>
      </c>
      <c r="L4" s="7" t="s">
        <v>21</v>
      </c>
      <c r="M4" s="7" t="s">
        <v>8</v>
      </c>
      <c r="N4" s="7" t="s">
        <v>16</v>
      </c>
      <c r="O4" s="7" t="s">
        <v>12</v>
      </c>
    </row>
    <row r="5" spans="1:15" x14ac:dyDescent="0.3">
      <c r="A5" s="68">
        <v>46149</v>
      </c>
      <c r="B5" s="69" t="s">
        <v>3</v>
      </c>
      <c r="C5" s="70">
        <v>4000</v>
      </c>
      <c r="D5" s="70">
        <v>4000</v>
      </c>
      <c r="E5" s="69" t="s">
        <v>105</v>
      </c>
      <c r="F5" s="69" t="s">
        <v>167</v>
      </c>
      <c r="G5" s="45"/>
      <c r="I5" s="49">
        <v>45988</v>
      </c>
      <c r="J5" s="50" t="s">
        <v>2</v>
      </c>
      <c r="K5" s="51">
        <v>34240</v>
      </c>
      <c r="L5" s="51">
        <v>32392</v>
      </c>
      <c r="M5" s="51">
        <v>1848</v>
      </c>
      <c r="N5" s="50" t="s">
        <v>13</v>
      </c>
      <c r="O5" s="12"/>
    </row>
    <row r="6" spans="1:15" x14ac:dyDescent="0.3">
      <c r="A6" s="68">
        <v>46150</v>
      </c>
      <c r="B6" s="69" t="s">
        <v>3</v>
      </c>
      <c r="C6" s="70">
        <v>2000</v>
      </c>
      <c r="D6" s="70">
        <v>2000</v>
      </c>
      <c r="E6" s="69" t="s">
        <v>105</v>
      </c>
      <c r="F6" s="69" t="s">
        <v>168</v>
      </c>
      <c r="G6" s="45"/>
      <c r="I6" s="27"/>
      <c r="J6" s="15"/>
      <c r="K6" s="12"/>
      <c r="L6" s="12"/>
      <c r="M6" s="37"/>
      <c r="N6" s="22"/>
      <c r="O6" s="15"/>
    </row>
    <row r="7" spans="1:15" x14ac:dyDescent="0.3">
      <c r="A7" s="68">
        <v>46153</v>
      </c>
      <c r="B7" s="69" t="s">
        <v>3</v>
      </c>
      <c r="C7" s="70">
        <v>2000</v>
      </c>
      <c r="D7" s="70">
        <v>2000</v>
      </c>
      <c r="E7" s="69" t="s">
        <v>105</v>
      </c>
      <c r="F7" s="69" t="s">
        <v>169</v>
      </c>
      <c r="G7" s="45"/>
      <c r="I7" s="27"/>
      <c r="J7" s="15"/>
      <c r="K7" s="12"/>
      <c r="L7" s="12"/>
      <c r="M7" s="37"/>
      <c r="N7" s="22"/>
      <c r="O7" s="15"/>
    </row>
    <row r="8" spans="1:15" x14ac:dyDescent="0.3">
      <c r="A8" s="68">
        <v>46157</v>
      </c>
      <c r="B8" s="69" t="s">
        <v>3</v>
      </c>
      <c r="C8" s="70">
        <v>2400</v>
      </c>
      <c r="D8" s="70">
        <v>2400</v>
      </c>
      <c r="E8" s="69" t="s">
        <v>105</v>
      </c>
      <c r="F8" s="69" t="s">
        <v>170</v>
      </c>
      <c r="G8" s="45"/>
      <c r="I8" s="27"/>
      <c r="J8" s="15"/>
      <c r="K8" s="12"/>
      <c r="L8" s="12"/>
      <c r="M8" s="37"/>
      <c r="N8" s="22"/>
      <c r="O8" s="15"/>
    </row>
    <row r="9" spans="1:15" x14ac:dyDescent="0.3">
      <c r="A9" s="68">
        <v>46159</v>
      </c>
      <c r="B9" s="69" t="s">
        <v>3</v>
      </c>
      <c r="C9" s="69">
        <v>36</v>
      </c>
      <c r="D9" s="69">
        <v>36</v>
      </c>
      <c r="E9" s="69" t="s">
        <v>105</v>
      </c>
      <c r="F9" s="69" t="s">
        <v>87</v>
      </c>
      <c r="G9" s="45"/>
      <c r="I9" s="27"/>
      <c r="J9" s="15"/>
      <c r="K9" s="12"/>
      <c r="L9" s="12"/>
      <c r="M9" s="37"/>
      <c r="N9" s="22"/>
      <c r="O9" s="15"/>
    </row>
    <row r="10" spans="1:15" x14ac:dyDescent="0.3">
      <c r="A10" s="68">
        <v>46160</v>
      </c>
      <c r="B10" s="69" t="s">
        <v>3</v>
      </c>
      <c r="C10" s="70">
        <v>2500</v>
      </c>
      <c r="D10" s="70">
        <v>2500</v>
      </c>
      <c r="E10" s="69" t="s">
        <v>105</v>
      </c>
      <c r="F10" s="69" t="s">
        <v>171</v>
      </c>
      <c r="G10" s="45"/>
      <c r="I10" s="27"/>
      <c r="J10" s="15"/>
      <c r="K10" s="12"/>
      <c r="L10" s="12"/>
      <c r="M10" s="37"/>
      <c r="N10" s="22"/>
      <c r="O10" s="15"/>
    </row>
    <row r="11" spans="1:15" x14ac:dyDescent="0.3">
      <c r="A11" s="68">
        <v>46162</v>
      </c>
      <c r="B11" s="69" t="s">
        <v>3</v>
      </c>
      <c r="C11" s="70">
        <v>3000</v>
      </c>
      <c r="D11" s="70">
        <v>3000</v>
      </c>
      <c r="E11" s="69" t="s">
        <v>105</v>
      </c>
      <c r="F11" s="69" t="s">
        <v>172</v>
      </c>
      <c r="G11" s="45"/>
      <c r="I11" s="27"/>
      <c r="J11" s="15"/>
      <c r="K11" s="12"/>
      <c r="L11" s="12"/>
      <c r="M11" s="37"/>
      <c r="N11" s="22"/>
      <c r="O11" s="15"/>
    </row>
    <row r="12" spans="1:15" x14ac:dyDescent="0.3">
      <c r="A12" s="68">
        <v>46164</v>
      </c>
      <c r="B12" s="69" t="s">
        <v>3</v>
      </c>
      <c r="C12" s="70">
        <v>3500</v>
      </c>
      <c r="D12" s="70">
        <v>3500</v>
      </c>
      <c r="E12" s="69" t="s">
        <v>105</v>
      </c>
      <c r="F12" s="69" t="s">
        <v>173</v>
      </c>
      <c r="G12" s="45"/>
      <c r="I12" s="27"/>
      <c r="J12" s="15"/>
      <c r="K12" s="12"/>
      <c r="L12" s="12"/>
      <c r="M12" s="37"/>
      <c r="N12" s="22"/>
      <c r="O12" s="15"/>
    </row>
    <row r="13" spans="1:15" x14ac:dyDescent="0.3">
      <c r="A13" s="68">
        <v>46169</v>
      </c>
      <c r="B13" s="69" t="s">
        <v>3</v>
      </c>
      <c r="C13" s="70">
        <v>3500</v>
      </c>
      <c r="D13" s="70">
        <v>3500</v>
      </c>
      <c r="E13" s="83" t="s">
        <v>105</v>
      </c>
      <c r="F13" s="69" t="s">
        <v>174</v>
      </c>
      <c r="G13" s="45"/>
      <c r="I13" s="27"/>
      <c r="J13" s="15"/>
      <c r="K13" s="12"/>
      <c r="L13" s="12"/>
      <c r="M13" s="37"/>
      <c r="N13" s="22"/>
      <c r="O13" s="15"/>
    </row>
    <row r="14" spans="1:15" x14ac:dyDescent="0.3">
      <c r="A14" s="68">
        <v>46170</v>
      </c>
      <c r="B14" s="69" t="s">
        <v>2</v>
      </c>
      <c r="C14" s="70">
        <f>17994+1200</f>
        <v>19194</v>
      </c>
      <c r="D14" s="70">
        <v>14485.2</v>
      </c>
      <c r="E14" s="84">
        <v>4708.8</v>
      </c>
      <c r="F14" s="69" t="s">
        <v>175</v>
      </c>
      <c r="G14" s="45"/>
      <c r="I14" s="27"/>
      <c r="J14" s="15"/>
      <c r="K14" s="12"/>
      <c r="L14" s="12"/>
      <c r="M14" s="37"/>
      <c r="N14" s="22"/>
      <c r="O14" s="15"/>
    </row>
    <row r="15" spans="1:15" x14ac:dyDescent="0.3">
      <c r="A15" s="41">
        <v>46171</v>
      </c>
      <c r="B15" s="42" t="s">
        <v>3</v>
      </c>
      <c r="C15" s="44">
        <v>2000</v>
      </c>
      <c r="D15" s="44">
        <v>2000</v>
      </c>
      <c r="E15" s="69" t="s">
        <v>105</v>
      </c>
      <c r="F15" s="42" t="s">
        <v>176</v>
      </c>
      <c r="G15" s="45"/>
      <c r="I15" s="27"/>
      <c r="J15" s="15"/>
      <c r="K15" s="12"/>
      <c r="L15" s="12"/>
      <c r="M15" s="37"/>
      <c r="N15" s="22"/>
      <c r="O15" s="15"/>
    </row>
    <row r="16" spans="1:15" x14ac:dyDescent="0.3">
      <c r="A16" s="6"/>
      <c r="B16" s="6"/>
      <c r="C16" s="7">
        <f>SUM(C5:C15)</f>
        <v>44130</v>
      </c>
      <c r="D16" s="7">
        <f>SUM(D5:D15)</f>
        <v>39421.199999999997</v>
      </c>
      <c r="E16" s="7">
        <f>C16-D16</f>
        <v>4708.8000000000029</v>
      </c>
      <c r="F16" s="7"/>
      <c r="G16" s="7"/>
    </row>
    <row r="17" spans="1:7" x14ac:dyDescent="0.3">
      <c r="A17" s="28"/>
    </row>
    <row r="18" spans="1:7" x14ac:dyDescent="0.3">
      <c r="A18" s="28"/>
    </row>
    <row r="19" spans="1:7" ht="15.6" x14ac:dyDescent="0.3">
      <c r="A19" s="113" t="s">
        <v>250</v>
      </c>
      <c r="B19" s="113"/>
      <c r="C19" s="113"/>
      <c r="D19" s="113"/>
      <c r="E19" s="113"/>
      <c r="F19" s="113"/>
      <c r="G19" s="113"/>
    </row>
    <row r="20" spans="1:7" x14ac:dyDescent="0.3">
      <c r="A20" s="6" t="s">
        <v>0</v>
      </c>
      <c r="B20" s="6" t="s">
        <v>1</v>
      </c>
      <c r="C20" s="7" t="s">
        <v>4</v>
      </c>
      <c r="D20" s="7" t="s">
        <v>12</v>
      </c>
      <c r="E20" s="6"/>
      <c r="F20" s="6"/>
      <c r="G20" s="6"/>
    </row>
    <row r="21" spans="1:7" x14ac:dyDescent="0.3">
      <c r="A21" s="68">
        <v>46149</v>
      </c>
      <c r="B21" s="2" t="s">
        <v>24</v>
      </c>
      <c r="C21" s="9">
        <v>810</v>
      </c>
      <c r="D21" s="15"/>
      <c r="E21" s="15"/>
      <c r="F21" s="22"/>
      <c r="G21" s="21"/>
    </row>
    <row r="22" spans="1:7" x14ac:dyDescent="0.3">
      <c r="A22" s="68">
        <v>46150</v>
      </c>
      <c r="B22" s="2" t="s">
        <v>24</v>
      </c>
      <c r="C22" s="9">
        <v>810</v>
      </c>
      <c r="D22" s="15"/>
      <c r="E22" s="15"/>
      <c r="F22" s="22"/>
      <c r="G22" s="21"/>
    </row>
    <row r="23" spans="1:7" x14ac:dyDescent="0.3">
      <c r="A23" s="68">
        <v>46153</v>
      </c>
      <c r="B23" s="2" t="s">
        <v>24</v>
      </c>
      <c r="C23" s="9">
        <v>810</v>
      </c>
      <c r="D23" s="15"/>
      <c r="E23" s="15"/>
      <c r="F23" s="22"/>
      <c r="G23" s="21"/>
    </row>
    <row r="24" spans="1:7" x14ac:dyDescent="0.3">
      <c r="A24" s="68">
        <v>46157</v>
      </c>
      <c r="B24" s="2" t="s">
        <v>24</v>
      </c>
      <c r="C24" s="9">
        <v>810</v>
      </c>
      <c r="D24" s="15"/>
      <c r="E24" s="15"/>
      <c r="F24" s="22"/>
      <c r="G24" s="21"/>
    </row>
    <row r="25" spans="1:7" x14ac:dyDescent="0.3">
      <c r="A25" s="68">
        <v>46159</v>
      </c>
      <c r="B25" s="2" t="s">
        <v>24</v>
      </c>
      <c r="C25" s="9">
        <v>810</v>
      </c>
      <c r="D25" s="15"/>
      <c r="E25" s="15"/>
      <c r="F25" s="22"/>
      <c r="G25" s="21"/>
    </row>
    <row r="26" spans="1:7" x14ac:dyDescent="0.3">
      <c r="A26" s="68">
        <v>46160</v>
      </c>
      <c r="B26" s="2" t="s">
        <v>24</v>
      </c>
      <c r="C26" s="9">
        <v>810</v>
      </c>
      <c r="D26" s="15"/>
      <c r="E26" s="15"/>
      <c r="F26" s="22"/>
      <c r="G26" s="21"/>
    </row>
    <row r="27" spans="1:7" x14ac:dyDescent="0.3">
      <c r="A27" s="68">
        <v>46162</v>
      </c>
      <c r="B27" s="2" t="s">
        <v>24</v>
      </c>
      <c r="C27" s="9">
        <v>810</v>
      </c>
      <c r="D27" s="15"/>
      <c r="E27" s="15"/>
      <c r="F27" s="22"/>
      <c r="G27" s="21"/>
    </row>
    <row r="28" spans="1:7" x14ac:dyDescent="0.3">
      <c r="A28" s="68">
        <v>46164</v>
      </c>
      <c r="B28" s="2" t="s">
        <v>24</v>
      </c>
      <c r="C28" s="9">
        <v>810</v>
      </c>
      <c r="D28" s="15"/>
      <c r="E28" s="15"/>
      <c r="F28" s="22"/>
      <c r="G28" s="21"/>
    </row>
    <row r="29" spans="1:7" x14ac:dyDescent="0.3">
      <c r="A29" s="68">
        <v>46169</v>
      </c>
      <c r="B29" s="2" t="s">
        <v>24</v>
      </c>
      <c r="C29" s="9">
        <v>810</v>
      </c>
      <c r="D29" s="15"/>
      <c r="E29" s="15"/>
      <c r="F29" s="22"/>
      <c r="G29" s="21"/>
    </row>
    <row r="30" spans="1:7" x14ac:dyDescent="0.3">
      <c r="A30" s="68">
        <v>46170</v>
      </c>
      <c r="B30" s="2" t="s">
        <v>24</v>
      </c>
      <c r="C30" s="9">
        <v>810</v>
      </c>
      <c r="D30" s="15"/>
      <c r="E30" s="15"/>
      <c r="F30" s="22"/>
      <c r="G30" s="21"/>
    </row>
    <row r="31" spans="1:7" x14ac:dyDescent="0.3">
      <c r="A31" s="41">
        <v>46171</v>
      </c>
      <c r="B31" s="2" t="s">
        <v>24</v>
      </c>
      <c r="C31" s="9">
        <v>810</v>
      </c>
      <c r="D31" s="15"/>
      <c r="E31" s="15"/>
      <c r="F31" s="22"/>
      <c r="G31" s="21"/>
    </row>
    <row r="32" spans="1:7" x14ac:dyDescent="0.3">
      <c r="A32" s="6"/>
      <c r="B32" s="6"/>
      <c r="C32" s="7">
        <f>SUM(C21:C31)</f>
        <v>8910</v>
      </c>
      <c r="D32" s="7"/>
      <c r="E32" s="7"/>
      <c r="F32" s="7"/>
      <c r="G32" s="7"/>
    </row>
    <row r="33" spans="1:7" x14ac:dyDescent="0.3">
      <c r="A33" s="28"/>
    </row>
    <row r="34" spans="1:7" ht="15.6" x14ac:dyDescent="0.3">
      <c r="A34" s="113" t="s">
        <v>250</v>
      </c>
      <c r="B34" s="113"/>
      <c r="C34" s="113"/>
      <c r="D34" s="113"/>
      <c r="E34" s="113"/>
      <c r="F34" s="113"/>
      <c r="G34" s="113"/>
    </row>
    <row r="35" spans="1:7" x14ac:dyDescent="0.3">
      <c r="A35" s="6" t="s">
        <v>0</v>
      </c>
      <c r="B35" s="6" t="s">
        <v>1</v>
      </c>
      <c r="C35" s="7" t="s">
        <v>4</v>
      </c>
      <c r="D35" s="7" t="s">
        <v>12</v>
      </c>
      <c r="E35" s="6"/>
      <c r="F35" s="6"/>
      <c r="G35" s="6"/>
    </row>
    <row r="36" spans="1:7" x14ac:dyDescent="0.3">
      <c r="A36" s="68">
        <v>46149</v>
      </c>
      <c r="B36" s="2" t="s">
        <v>251</v>
      </c>
      <c r="C36" s="9">
        <v>115</v>
      </c>
      <c r="D36" s="15"/>
      <c r="E36" s="15"/>
      <c r="F36" s="22"/>
      <c r="G36" s="21"/>
    </row>
    <row r="37" spans="1:7" x14ac:dyDescent="0.3">
      <c r="A37" s="68">
        <v>46150</v>
      </c>
      <c r="B37" s="2" t="s">
        <v>251</v>
      </c>
      <c r="C37" s="9">
        <v>115</v>
      </c>
      <c r="D37" s="15"/>
      <c r="E37" s="15"/>
      <c r="F37" s="22"/>
      <c r="G37" s="21"/>
    </row>
    <row r="38" spans="1:7" x14ac:dyDescent="0.3">
      <c r="A38" s="68">
        <v>46153</v>
      </c>
      <c r="B38" s="2" t="s">
        <v>251</v>
      </c>
      <c r="C38" s="9">
        <v>115</v>
      </c>
      <c r="D38" s="15"/>
      <c r="E38" s="15"/>
      <c r="F38" s="22"/>
      <c r="G38" s="21"/>
    </row>
    <row r="39" spans="1:7" x14ac:dyDescent="0.3">
      <c r="A39" s="68">
        <v>46157</v>
      </c>
      <c r="B39" s="2" t="s">
        <v>251</v>
      </c>
      <c r="C39" s="9">
        <v>115</v>
      </c>
      <c r="D39" s="15"/>
      <c r="E39" s="15"/>
      <c r="F39" s="22"/>
      <c r="G39" s="21"/>
    </row>
    <row r="40" spans="1:7" x14ac:dyDescent="0.3">
      <c r="A40" s="68">
        <v>46159</v>
      </c>
      <c r="B40" s="2" t="s">
        <v>251</v>
      </c>
      <c r="C40" s="9">
        <v>115</v>
      </c>
      <c r="D40" s="15"/>
      <c r="E40" s="15"/>
      <c r="F40" s="22"/>
      <c r="G40" s="21"/>
    </row>
    <row r="41" spans="1:7" x14ac:dyDescent="0.3">
      <c r="A41" s="68">
        <v>46160</v>
      </c>
      <c r="B41" s="2" t="s">
        <v>251</v>
      </c>
      <c r="C41" s="9">
        <v>115</v>
      </c>
      <c r="D41" s="15"/>
      <c r="E41" s="15"/>
      <c r="F41" s="22"/>
      <c r="G41" s="21"/>
    </row>
    <row r="42" spans="1:7" x14ac:dyDescent="0.3">
      <c r="A42" s="68">
        <v>46162</v>
      </c>
      <c r="B42" s="2" t="s">
        <v>251</v>
      </c>
      <c r="C42" s="9">
        <v>115</v>
      </c>
      <c r="D42" s="15"/>
      <c r="E42" s="15"/>
      <c r="F42" s="22"/>
      <c r="G42" s="21"/>
    </row>
    <row r="43" spans="1:7" x14ac:dyDescent="0.3">
      <c r="A43" s="68">
        <v>46164</v>
      </c>
      <c r="B43" s="2" t="s">
        <v>251</v>
      </c>
      <c r="C43" s="9">
        <v>115</v>
      </c>
      <c r="D43" s="15"/>
      <c r="E43" s="15"/>
      <c r="F43" s="22"/>
      <c r="G43" s="21"/>
    </row>
    <row r="44" spans="1:7" x14ac:dyDescent="0.3">
      <c r="A44" s="68">
        <v>46169</v>
      </c>
      <c r="B44" s="2" t="s">
        <v>251</v>
      </c>
      <c r="C44" s="9">
        <v>115</v>
      </c>
      <c r="D44" s="15"/>
      <c r="E44" s="15"/>
      <c r="F44" s="22"/>
      <c r="G44" s="21"/>
    </row>
    <row r="45" spans="1:7" x14ac:dyDescent="0.3">
      <c r="A45" s="68">
        <v>46170</v>
      </c>
      <c r="B45" s="2" t="s">
        <v>251</v>
      </c>
      <c r="C45" s="9">
        <v>115</v>
      </c>
      <c r="D45" s="15"/>
      <c r="E45" s="15"/>
      <c r="F45" s="22"/>
      <c r="G45" s="21"/>
    </row>
    <row r="46" spans="1:7" x14ac:dyDescent="0.3">
      <c r="A46" s="41">
        <v>46171</v>
      </c>
      <c r="B46" s="2" t="s">
        <v>251</v>
      </c>
      <c r="C46" s="9">
        <v>115</v>
      </c>
      <c r="D46" s="15"/>
      <c r="E46" s="15"/>
      <c r="F46" s="22"/>
      <c r="G46" s="21"/>
    </row>
    <row r="47" spans="1:7" x14ac:dyDescent="0.3">
      <c r="A47" s="6"/>
      <c r="B47" s="6"/>
      <c r="C47" s="7">
        <f>SUM(C36:C46)</f>
        <v>1265</v>
      </c>
      <c r="D47" s="7"/>
      <c r="E47" s="7"/>
      <c r="F47" s="7"/>
      <c r="G47" s="7"/>
    </row>
    <row r="48" spans="1:7" x14ac:dyDescent="0.3">
      <c r="A48" s="28"/>
    </row>
    <row r="49" spans="1:10" ht="15.6" x14ac:dyDescent="0.3">
      <c r="A49" s="113" t="s">
        <v>27</v>
      </c>
      <c r="B49" s="113"/>
      <c r="C49" s="113"/>
      <c r="D49" s="113"/>
      <c r="E49" s="113"/>
      <c r="F49" s="113"/>
      <c r="G49" s="113"/>
    </row>
    <row r="50" spans="1:10" ht="15.6" x14ac:dyDescent="0.3">
      <c r="A50" s="113" t="s">
        <v>32</v>
      </c>
      <c r="B50" s="113"/>
      <c r="C50" s="113"/>
      <c r="D50" s="113"/>
      <c r="E50" s="113"/>
      <c r="F50" s="113"/>
      <c r="G50" s="113"/>
    </row>
    <row r="51" spans="1:10" x14ac:dyDescent="0.3">
      <c r="A51" s="6" t="s">
        <v>0</v>
      </c>
      <c r="B51" s="6" t="s">
        <v>1</v>
      </c>
      <c r="C51" s="7" t="s">
        <v>4</v>
      </c>
      <c r="D51" s="7" t="s">
        <v>11</v>
      </c>
      <c r="E51" s="7"/>
      <c r="F51" s="7"/>
      <c r="G51" s="7"/>
      <c r="J51" s="30"/>
    </row>
    <row r="52" spans="1:10" x14ac:dyDescent="0.3">
      <c r="A52" s="28"/>
      <c r="C52" s="9"/>
    </row>
    <row r="53" spans="1:10" x14ac:dyDescent="0.3">
      <c r="A53" s="28"/>
      <c r="C53" s="9"/>
    </row>
    <row r="54" spans="1:10" x14ac:dyDescent="0.3">
      <c r="A54" s="28"/>
      <c r="C54" s="9"/>
    </row>
    <row r="55" spans="1:10" x14ac:dyDescent="0.3">
      <c r="A55" s="28"/>
      <c r="C55" s="9"/>
    </row>
    <row r="56" spans="1:10" x14ac:dyDescent="0.3">
      <c r="A56" s="28"/>
      <c r="C56" s="9"/>
    </row>
    <row r="57" spans="1:10" x14ac:dyDescent="0.3">
      <c r="A57" s="28"/>
      <c r="C57" s="9"/>
    </row>
    <row r="58" spans="1:10" x14ac:dyDescent="0.3">
      <c r="A58" s="28"/>
      <c r="C58" s="9"/>
    </row>
    <row r="59" spans="1:10" x14ac:dyDescent="0.3">
      <c r="A59" s="6"/>
      <c r="B59" s="6"/>
      <c r="C59" s="7">
        <f>SUM(C51:C58)</f>
        <v>0</v>
      </c>
      <c r="D59" s="7"/>
      <c r="E59" s="7"/>
      <c r="F59" s="7"/>
      <c r="G59" s="7"/>
    </row>
    <row r="60" spans="1:10" x14ac:dyDescent="0.3">
      <c r="A60" s="28"/>
    </row>
    <row r="61" spans="1:10" ht="15.6" x14ac:dyDescent="0.3">
      <c r="A61" s="113" t="s">
        <v>22</v>
      </c>
      <c r="B61" s="113"/>
      <c r="C61" s="113"/>
      <c r="D61" s="113"/>
      <c r="E61" s="113"/>
      <c r="F61" s="113"/>
      <c r="G61" s="113"/>
    </row>
    <row r="62" spans="1:10" x14ac:dyDescent="0.3">
      <c r="A62" s="6" t="s">
        <v>0</v>
      </c>
      <c r="B62" s="6" t="s">
        <v>1</v>
      </c>
      <c r="C62" s="7" t="s">
        <v>4</v>
      </c>
      <c r="D62" s="7" t="s">
        <v>11</v>
      </c>
      <c r="E62" s="7"/>
      <c r="F62" s="7"/>
      <c r="G62" s="7"/>
    </row>
    <row r="63" spans="1:10" x14ac:dyDescent="0.3">
      <c r="A63" s="28">
        <v>46160</v>
      </c>
      <c r="B63" s="2" t="s">
        <v>228</v>
      </c>
      <c r="C63" s="3">
        <v>24</v>
      </c>
      <c r="D63" s="2" t="s">
        <v>227</v>
      </c>
    </row>
    <row r="64" spans="1:10" x14ac:dyDescent="0.3">
      <c r="A64" s="28"/>
    </row>
    <row r="65" spans="1:7" x14ac:dyDescent="0.3">
      <c r="A65" s="28"/>
    </row>
    <row r="66" spans="1:7" x14ac:dyDescent="0.3">
      <c r="A66" s="28"/>
    </row>
    <row r="67" spans="1:7" x14ac:dyDescent="0.3">
      <c r="A67" s="28"/>
    </row>
    <row r="68" spans="1:7" x14ac:dyDescent="0.3">
      <c r="A68" s="28"/>
    </row>
    <row r="69" spans="1:7" x14ac:dyDescent="0.3">
      <c r="A69" s="28"/>
    </row>
    <row r="70" spans="1:7" x14ac:dyDescent="0.3">
      <c r="A70" s="6"/>
      <c r="B70" s="6"/>
      <c r="C70" s="7">
        <f>SUM(C63:C69)</f>
        <v>24</v>
      </c>
      <c r="D70" s="7"/>
      <c r="E70" s="7"/>
      <c r="F70" s="7"/>
      <c r="G70" s="7"/>
    </row>
    <row r="71" spans="1:7" x14ac:dyDescent="0.3">
      <c r="A71" s="28"/>
      <c r="C71" s="5"/>
    </row>
    <row r="72" spans="1:7" ht="15.6" x14ac:dyDescent="0.3">
      <c r="A72" s="113" t="s">
        <v>23</v>
      </c>
      <c r="B72" s="113"/>
      <c r="C72" s="113"/>
      <c r="D72" s="113"/>
      <c r="E72" s="113"/>
      <c r="F72" s="113"/>
      <c r="G72" s="113"/>
    </row>
    <row r="73" spans="1:7" x14ac:dyDescent="0.3">
      <c r="A73" s="6" t="s">
        <v>0</v>
      </c>
      <c r="B73" s="6" t="s">
        <v>1</v>
      </c>
      <c r="C73" s="7" t="s">
        <v>4</v>
      </c>
      <c r="D73" s="7" t="s">
        <v>12</v>
      </c>
      <c r="E73" s="7"/>
      <c r="F73" s="7"/>
      <c r="G73" s="7"/>
    </row>
    <row r="74" spans="1:7" x14ac:dyDescent="0.3">
      <c r="A74" s="28">
        <v>46023</v>
      </c>
      <c r="B74" s="2" t="s">
        <v>5</v>
      </c>
      <c r="C74" s="9">
        <v>2212</v>
      </c>
      <c r="D74" s="2" t="s">
        <v>81</v>
      </c>
    </row>
    <row r="75" spans="1:7" x14ac:dyDescent="0.3">
      <c r="A75" s="28">
        <v>46025</v>
      </c>
      <c r="B75" s="2" t="s">
        <v>36</v>
      </c>
      <c r="C75" s="9">
        <v>1000</v>
      </c>
      <c r="D75" s="2" t="s">
        <v>81</v>
      </c>
    </row>
    <row r="76" spans="1:7" x14ac:dyDescent="0.3">
      <c r="A76" s="28">
        <v>46027</v>
      </c>
      <c r="B76" s="2" t="s">
        <v>19</v>
      </c>
      <c r="C76" s="9">
        <v>1580</v>
      </c>
      <c r="D76" s="2" t="s">
        <v>81</v>
      </c>
    </row>
    <row r="77" spans="1:7" x14ac:dyDescent="0.3">
      <c r="A77" s="27">
        <v>46030</v>
      </c>
      <c r="B77" s="15" t="s">
        <v>33</v>
      </c>
      <c r="C77" s="12">
        <v>153.26</v>
      </c>
      <c r="D77" s="15" t="s">
        <v>81</v>
      </c>
    </row>
    <row r="78" spans="1:7" x14ac:dyDescent="0.3">
      <c r="A78" s="28">
        <v>46152</v>
      </c>
      <c r="B78" s="2" t="s">
        <v>6</v>
      </c>
      <c r="C78" s="9">
        <v>173.82</v>
      </c>
      <c r="D78" s="2" t="s">
        <v>81</v>
      </c>
    </row>
    <row r="79" spans="1:7" x14ac:dyDescent="0.3">
      <c r="A79" s="29">
        <v>46034</v>
      </c>
      <c r="B79" s="23" t="s">
        <v>14</v>
      </c>
      <c r="C79" s="24">
        <v>400</v>
      </c>
      <c r="D79" s="23"/>
    </row>
    <row r="80" spans="1:7" x14ac:dyDescent="0.3">
      <c r="A80" s="28">
        <v>46037</v>
      </c>
      <c r="B80" s="2" t="s">
        <v>39</v>
      </c>
      <c r="C80" s="9">
        <v>644.28</v>
      </c>
      <c r="D80" s="2" t="s">
        <v>81</v>
      </c>
    </row>
    <row r="81" spans="1:10" x14ac:dyDescent="0.3">
      <c r="A81" s="29">
        <v>46039</v>
      </c>
      <c r="B81" s="23" t="s">
        <v>7</v>
      </c>
      <c r="C81" s="24">
        <v>409.9</v>
      </c>
      <c r="D81" s="23"/>
    </row>
    <row r="82" spans="1:10" x14ac:dyDescent="0.3">
      <c r="A82" s="29">
        <v>46040</v>
      </c>
      <c r="B82" s="23" t="s">
        <v>15</v>
      </c>
      <c r="C82" s="24">
        <v>941.6</v>
      </c>
      <c r="D82" s="23"/>
    </row>
    <row r="83" spans="1:10" x14ac:dyDescent="0.3">
      <c r="A83" s="29">
        <v>46040</v>
      </c>
      <c r="B83" s="23" t="s">
        <v>238</v>
      </c>
      <c r="C83" s="24"/>
      <c r="D83" s="23"/>
    </row>
    <row r="84" spans="1:10" x14ac:dyDescent="0.3">
      <c r="A84" s="27">
        <v>46042</v>
      </c>
      <c r="B84" s="15" t="s">
        <v>18</v>
      </c>
      <c r="C84" s="12">
        <v>432.96</v>
      </c>
      <c r="D84" s="15" t="s">
        <v>81</v>
      </c>
    </row>
    <row r="85" spans="1:10" x14ac:dyDescent="0.3">
      <c r="A85" s="29">
        <v>46052</v>
      </c>
      <c r="B85" s="23" t="s">
        <v>237</v>
      </c>
      <c r="C85" s="24">
        <v>485.76</v>
      </c>
      <c r="D85" s="23"/>
    </row>
    <row r="86" spans="1:10" x14ac:dyDescent="0.3">
      <c r="A86" s="29">
        <v>46052</v>
      </c>
      <c r="B86" s="23" t="s">
        <v>25</v>
      </c>
      <c r="C86" s="24">
        <v>3000</v>
      </c>
      <c r="D86" s="23"/>
    </row>
    <row r="87" spans="1:10" x14ac:dyDescent="0.3">
      <c r="A87" s="29">
        <v>46052</v>
      </c>
      <c r="B87" s="23" t="s">
        <v>30</v>
      </c>
      <c r="C87" s="24">
        <f>C16*10%</f>
        <v>4413</v>
      </c>
      <c r="D87" s="23"/>
    </row>
    <row r="88" spans="1:10" x14ac:dyDescent="0.3">
      <c r="A88" s="6"/>
      <c r="B88" s="6"/>
      <c r="C88" s="7">
        <f>SUM(C74:C87)</f>
        <v>15846.58</v>
      </c>
      <c r="D88" s="6"/>
      <c r="E88" s="6"/>
      <c r="F88" s="6"/>
      <c r="G88" s="6"/>
    </row>
    <row r="89" spans="1:10" x14ac:dyDescent="0.3">
      <c r="A89" s="28"/>
    </row>
    <row r="90" spans="1:10" ht="15.6" x14ac:dyDescent="0.3">
      <c r="A90" s="113" t="s">
        <v>82</v>
      </c>
      <c r="B90" s="113"/>
      <c r="C90" s="113"/>
      <c r="D90" s="113"/>
      <c r="E90" s="113"/>
      <c r="F90" s="113"/>
      <c r="G90" s="113"/>
    </row>
    <row r="91" spans="1:10" x14ac:dyDescent="0.3">
      <c r="A91" s="6" t="s">
        <v>0</v>
      </c>
      <c r="B91" s="6" t="s">
        <v>1</v>
      </c>
      <c r="C91" s="7" t="s">
        <v>4</v>
      </c>
      <c r="D91" s="7" t="s">
        <v>12</v>
      </c>
      <c r="E91" s="6"/>
      <c r="F91" s="6"/>
      <c r="G91" s="6"/>
    </row>
    <row r="92" spans="1:10" x14ac:dyDescent="0.3">
      <c r="A92" s="28">
        <v>46169</v>
      </c>
      <c r="B92" s="2" t="s">
        <v>145</v>
      </c>
      <c r="C92" s="9">
        <v>450</v>
      </c>
      <c r="D92" s="2" t="s">
        <v>81</v>
      </c>
    </row>
    <row r="93" spans="1:10" x14ac:dyDescent="0.3">
      <c r="A93" s="28">
        <v>46144</v>
      </c>
      <c r="B93" s="2" t="s">
        <v>145</v>
      </c>
      <c r="C93" s="9">
        <f>10*350</f>
        <v>3500</v>
      </c>
      <c r="D93" s="2" t="s">
        <v>160</v>
      </c>
      <c r="J93" s="9"/>
    </row>
    <row r="94" spans="1:10" x14ac:dyDescent="0.3">
      <c r="A94" s="6"/>
      <c r="B94" s="6"/>
      <c r="C94" s="7">
        <f>SUM(C92:C93)</f>
        <v>3950</v>
      </c>
      <c r="D94" s="6"/>
      <c r="E94" s="6"/>
      <c r="F94" s="6"/>
      <c r="G94" s="6"/>
    </row>
    <row r="95" spans="1:10" x14ac:dyDescent="0.3">
      <c r="A95" s="28"/>
      <c r="C95" s="16"/>
    </row>
    <row r="96" spans="1:10" x14ac:dyDescent="0.3">
      <c r="A96" s="27"/>
      <c r="B96" s="15"/>
      <c r="C96" s="12"/>
      <c r="D96" s="15"/>
      <c r="E96" s="15"/>
      <c r="F96" s="22"/>
      <c r="G96" s="21"/>
    </row>
    <row r="97" spans="1:7" x14ac:dyDescent="0.3">
      <c r="A97" s="27"/>
      <c r="B97" s="15"/>
      <c r="C97" s="12"/>
      <c r="D97" s="15"/>
      <c r="E97" s="15"/>
      <c r="F97" s="22"/>
      <c r="G97" s="21"/>
    </row>
    <row r="99" spans="1:7" x14ac:dyDescent="0.3">
      <c r="B99" s="4"/>
      <c r="C99" s="5"/>
      <c r="D99" s="4"/>
    </row>
    <row r="100" spans="1:7" x14ac:dyDescent="0.3">
      <c r="B100" s="4" t="s">
        <v>26</v>
      </c>
      <c r="C100" s="5">
        <f>C16</f>
        <v>44130</v>
      </c>
      <c r="D100" s="4"/>
    </row>
    <row r="101" spans="1:7" x14ac:dyDescent="0.3">
      <c r="B101" s="4" t="s">
        <v>27</v>
      </c>
      <c r="C101" s="5">
        <f>C32+C47+C59+C70+C88+C94</f>
        <v>29995.58</v>
      </c>
    </row>
    <row r="102" spans="1:7" x14ac:dyDescent="0.3">
      <c r="B102" s="4" t="s">
        <v>28</v>
      </c>
      <c r="C102" s="5">
        <f>C100-C101</f>
        <v>14134.419999999998</v>
      </c>
    </row>
    <row r="103" spans="1:7" x14ac:dyDescent="0.3">
      <c r="B103" s="4" t="s">
        <v>31</v>
      </c>
      <c r="C103" s="5">
        <f>C87+C102</f>
        <v>18547.419999999998</v>
      </c>
    </row>
  </sheetData>
  <mergeCells count="10">
    <mergeCell ref="A61:G61"/>
    <mergeCell ref="A72:G72"/>
    <mergeCell ref="A90:G90"/>
    <mergeCell ref="A34:G34"/>
    <mergeCell ref="A1:O1"/>
    <mergeCell ref="A3:G3"/>
    <mergeCell ref="I3:O3"/>
    <mergeCell ref="A19:G19"/>
    <mergeCell ref="A49:G49"/>
    <mergeCell ref="A50:G5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2D05-F650-439C-87AC-075507A0003D}">
  <dimension ref="A1:O100"/>
  <sheetViews>
    <sheetView showGridLines="0" workbookViewId="0">
      <selection activeCell="J17" sqref="J17"/>
    </sheetView>
  </sheetViews>
  <sheetFormatPr defaultRowHeight="14.4" x14ac:dyDescent="0.3"/>
  <cols>
    <col min="1" max="1" width="10.6640625" style="2" customWidth="1"/>
    <col min="2" max="2" width="15.88671875" style="2" bestFit="1" customWidth="1"/>
    <col min="3" max="3" width="11.44140625" style="3" bestFit="1" customWidth="1"/>
    <col min="4" max="4" width="11.5546875" style="2" bestFit="1" customWidth="1"/>
    <col min="5" max="5" width="11.44140625" style="2" bestFit="1" customWidth="1"/>
    <col min="6" max="6" width="13.33203125" style="3" bestFit="1" customWidth="1"/>
    <col min="7" max="7" width="9.5546875" style="11" bestFit="1" customWidth="1"/>
    <col min="8" max="8" width="4.77734375" customWidth="1"/>
    <col min="9" max="9" width="10.6640625" style="2" bestFit="1" customWidth="1"/>
    <col min="10" max="10" width="12.88671875" style="3" bestFit="1" customWidth="1"/>
    <col min="11" max="11" width="11.44140625" style="2" bestFit="1" customWidth="1"/>
    <col min="12" max="12" width="10.5546875" style="2" bestFit="1" customWidth="1"/>
    <col min="13" max="13" width="10.33203125" style="2" bestFit="1" customWidth="1"/>
    <col min="14" max="14" width="11.44140625" style="2" bestFit="1" customWidth="1"/>
    <col min="15" max="15" width="8.88671875" style="2"/>
  </cols>
  <sheetData>
    <row r="1" spans="1:15" ht="21" customHeight="1" x14ac:dyDescent="0.3">
      <c r="A1" s="114" t="s">
        <v>192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3" spans="1:15" ht="15.6" x14ac:dyDescent="0.3">
      <c r="A3" s="113" t="s">
        <v>26</v>
      </c>
      <c r="B3" s="113"/>
      <c r="C3" s="113"/>
      <c r="D3" s="113"/>
      <c r="E3" s="113"/>
      <c r="F3" s="113"/>
      <c r="G3" s="113"/>
      <c r="I3" s="113" t="s">
        <v>35</v>
      </c>
      <c r="J3" s="113"/>
      <c r="K3" s="113"/>
      <c r="L3" s="113"/>
      <c r="M3" s="113"/>
      <c r="N3" s="113"/>
      <c r="O3" s="113"/>
    </row>
    <row r="4" spans="1:15" x14ac:dyDescent="0.3">
      <c r="A4" s="6" t="s">
        <v>0</v>
      </c>
      <c r="B4" s="6" t="s">
        <v>1</v>
      </c>
      <c r="C4" s="7" t="s">
        <v>4</v>
      </c>
      <c r="D4" s="7" t="s">
        <v>21</v>
      </c>
      <c r="E4" s="7" t="s">
        <v>8</v>
      </c>
      <c r="F4" s="7" t="s">
        <v>16</v>
      </c>
      <c r="G4" s="20" t="s">
        <v>17</v>
      </c>
      <c r="I4" s="6" t="s">
        <v>0</v>
      </c>
      <c r="J4" s="6" t="s">
        <v>1</v>
      </c>
      <c r="K4" s="7" t="s">
        <v>4</v>
      </c>
      <c r="L4" s="7" t="s">
        <v>21</v>
      </c>
      <c r="M4" s="7" t="s">
        <v>8</v>
      </c>
      <c r="N4" s="7" t="s">
        <v>16</v>
      </c>
      <c r="O4" s="7" t="s">
        <v>12</v>
      </c>
    </row>
    <row r="5" spans="1:15" x14ac:dyDescent="0.3">
      <c r="A5" s="68">
        <v>46176</v>
      </c>
      <c r="B5" s="42" t="s">
        <v>2</v>
      </c>
      <c r="C5" s="44">
        <v>7000</v>
      </c>
      <c r="D5" s="45"/>
      <c r="E5" s="84">
        <v>7000</v>
      </c>
      <c r="F5" s="42" t="s">
        <v>177</v>
      </c>
      <c r="G5" s="45"/>
      <c r="I5" s="29">
        <v>45988</v>
      </c>
      <c r="J5" s="23" t="s">
        <v>2</v>
      </c>
      <c r="K5" s="75">
        <v>34240</v>
      </c>
      <c r="L5" s="75">
        <v>32392</v>
      </c>
      <c r="M5" s="75">
        <v>1848</v>
      </c>
      <c r="N5" s="23" t="s">
        <v>13</v>
      </c>
      <c r="O5" s="12"/>
    </row>
    <row r="6" spans="1:15" x14ac:dyDescent="0.3">
      <c r="A6" s="41">
        <v>46182</v>
      </c>
      <c r="B6" s="42" t="s">
        <v>178</v>
      </c>
      <c r="C6" s="45"/>
      <c r="D6" s="45"/>
      <c r="E6" s="71"/>
      <c r="F6" s="42" t="s">
        <v>95</v>
      </c>
      <c r="G6" s="45"/>
      <c r="I6" s="85">
        <v>46170</v>
      </c>
      <c r="J6" s="83" t="s">
        <v>2</v>
      </c>
      <c r="K6" s="84">
        <v>17994</v>
      </c>
      <c r="L6" s="84">
        <v>14485.2</v>
      </c>
      <c r="M6" s="84">
        <v>4708.8</v>
      </c>
      <c r="N6" s="83" t="s">
        <v>175</v>
      </c>
      <c r="O6" s="15"/>
    </row>
    <row r="7" spans="1:15" x14ac:dyDescent="0.3">
      <c r="A7" s="41">
        <v>46183</v>
      </c>
      <c r="B7" s="42" t="s">
        <v>3</v>
      </c>
      <c r="C7" s="44">
        <v>2000</v>
      </c>
      <c r="D7" s="44">
        <v>2000</v>
      </c>
      <c r="E7" s="83" t="s">
        <v>105</v>
      </c>
      <c r="F7" s="42" t="s">
        <v>179</v>
      </c>
      <c r="G7" s="45"/>
      <c r="I7" s="27"/>
      <c r="J7" s="15"/>
      <c r="K7" s="12"/>
      <c r="L7" s="12"/>
      <c r="M7" s="26">
        <f>SUM(M5:M6)</f>
        <v>6556.8</v>
      </c>
      <c r="N7" s="22"/>
      <c r="O7" s="15"/>
    </row>
    <row r="8" spans="1:15" x14ac:dyDescent="0.3">
      <c r="A8" s="41">
        <v>46188</v>
      </c>
      <c r="B8" s="42" t="s">
        <v>3</v>
      </c>
      <c r="C8" s="44">
        <v>2000</v>
      </c>
      <c r="D8" s="45"/>
      <c r="E8" s="84">
        <v>2000</v>
      </c>
      <c r="F8" s="42" t="s">
        <v>180</v>
      </c>
      <c r="G8" s="45"/>
      <c r="I8" s="27"/>
      <c r="J8" s="15"/>
      <c r="K8" s="12"/>
      <c r="L8" s="12"/>
      <c r="M8" s="37"/>
      <c r="N8" s="22"/>
      <c r="O8" s="15"/>
    </row>
    <row r="9" spans="1:15" x14ac:dyDescent="0.3">
      <c r="A9" s="41">
        <v>46192</v>
      </c>
      <c r="B9" s="42" t="s">
        <v>3</v>
      </c>
      <c r="C9" s="44">
        <v>2000</v>
      </c>
      <c r="D9" s="45"/>
      <c r="E9" s="84">
        <v>2000</v>
      </c>
      <c r="F9" s="42" t="s">
        <v>95</v>
      </c>
      <c r="G9" s="45"/>
      <c r="I9" s="27"/>
      <c r="J9" s="15"/>
      <c r="K9" s="12"/>
      <c r="L9" s="12"/>
      <c r="M9" s="37"/>
      <c r="N9" s="22"/>
      <c r="O9" s="15"/>
    </row>
    <row r="10" spans="1:15" x14ac:dyDescent="0.3">
      <c r="A10" s="41">
        <v>46199</v>
      </c>
      <c r="B10" s="42" t="s">
        <v>3</v>
      </c>
      <c r="C10" s="44">
        <v>2000</v>
      </c>
      <c r="D10" s="45"/>
      <c r="E10" s="84">
        <v>2000</v>
      </c>
      <c r="F10" s="42" t="s">
        <v>181</v>
      </c>
      <c r="G10" s="45"/>
      <c r="I10" s="27"/>
      <c r="J10" s="15"/>
      <c r="K10" s="12"/>
      <c r="L10" s="12"/>
      <c r="M10" s="37"/>
      <c r="N10" s="22"/>
      <c r="O10" s="15"/>
    </row>
    <row r="11" spans="1:15" x14ac:dyDescent="0.3">
      <c r="A11" s="68"/>
      <c r="B11" s="69"/>
      <c r="C11" s="70"/>
      <c r="D11" s="70"/>
      <c r="E11" s="69"/>
      <c r="F11" s="69"/>
      <c r="G11" s="45"/>
      <c r="I11" s="27"/>
      <c r="J11" s="15"/>
      <c r="K11" s="12"/>
      <c r="L11" s="12"/>
      <c r="M11" s="37"/>
      <c r="N11" s="22"/>
      <c r="O11" s="15"/>
    </row>
    <row r="12" spans="1:15" x14ac:dyDescent="0.3">
      <c r="A12" s="41"/>
      <c r="B12" s="42"/>
      <c r="C12" s="44"/>
      <c r="D12" s="44"/>
      <c r="E12" s="69"/>
      <c r="F12" s="42"/>
      <c r="G12" s="45"/>
      <c r="I12" s="27"/>
      <c r="J12" s="15"/>
      <c r="K12" s="12"/>
      <c r="L12" s="12"/>
      <c r="M12" s="37"/>
      <c r="N12" s="22"/>
      <c r="O12" s="15"/>
    </row>
    <row r="13" spans="1:15" x14ac:dyDescent="0.3">
      <c r="A13" s="6" t="s">
        <v>258</v>
      </c>
      <c r="B13" s="6"/>
      <c r="C13" s="7">
        <f>SUM(C5:C12)</f>
        <v>15000</v>
      </c>
      <c r="D13" s="7">
        <f>SUM(D5:D12)</f>
        <v>2000</v>
      </c>
      <c r="E13" s="7">
        <f>C13-D13</f>
        <v>13000</v>
      </c>
      <c r="F13" s="7"/>
      <c r="G13" s="7"/>
    </row>
    <row r="14" spans="1:15" x14ac:dyDescent="0.3">
      <c r="A14" s="28"/>
    </row>
    <row r="15" spans="1:15" x14ac:dyDescent="0.3">
      <c r="A15" s="28"/>
    </row>
    <row r="16" spans="1:15" ht="15.6" x14ac:dyDescent="0.3">
      <c r="A16" s="113" t="s">
        <v>256</v>
      </c>
      <c r="B16" s="113"/>
      <c r="C16" s="113"/>
      <c r="D16" s="113"/>
      <c r="E16" s="113"/>
      <c r="F16" s="113"/>
      <c r="G16" s="113"/>
    </row>
    <row r="17" spans="1:7" x14ac:dyDescent="0.3">
      <c r="A17" s="6" t="s">
        <v>0</v>
      </c>
      <c r="B17" s="6" t="s">
        <v>1</v>
      </c>
      <c r="C17" s="7" t="s">
        <v>4</v>
      </c>
      <c r="D17" s="7" t="s">
        <v>12</v>
      </c>
      <c r="E17" s="6"/>
      <c r="F17" s="6"/>
      <c r="G17" s="6"/>
    </row>
    <row r="18" spans="1:7" x14ac:dyDescent="0.3">
      <c r="A18" s="28">
        <v>46176</v>
      </c>
      <c r="B18" s="2" t="s">
        <v>24</v>
      </c>
      <c r="C18" s="9">
        <v>740</v>
      </c>
      <c r="D18" s="15"/>
      <c r="E18" s="15"/>
      <c r="F18" s="22"/>
      <c r="G18" s="21"/>
    </row>
    <row r="19" spans="1:7" x14ac:dyDescent="0.3">
      <c r="A19" s="28">
        <v>46182</v>
      </c>
      <c r="B19" s="2" t="s">
        <v>24</v>
      </c>
      <c r="C19" s="9"/>
      <c r="D19" s="15"/>
      <c r="E19" s="15"/>
      <c r="F19" s="22"/>
      <c r="G19" s="21"/>
    </row>
    <row r="20" spans="1:7" x14ac:dyDescent="0.3">
      <c r="A20" s="28">
        <v>46183</v>
      </c>
      <c r="B20" s="2" t="s">
        <v>24</v>
      </c>
      <c r="C20" s="9">
        <v>810</v>
      </c>
      <c r="D20" s="15"/>
      <c r="E20" s="15"/>
      <c r="F20" s="22"/>
      <c r="G20" s="21"/>
    </row>
    <row r="21" spans="1:7" x14ac:dyDescent="0.3">
      <c r="A21" s="28">
        <v>46185</v>
      </c>
      <c r="B21" s="2" t="s">
        <v>24</v>
      </c>
      <c r="C21" s="9">
        <v>740</v>
      </c>
      <c r="D21" s="15"/>
      <c r="E21" s="15"/>
      <c r="F21" s="22"/>
      <c r="G21" s="21"/>
    </row>
    <row r="22" spans="1:7" x14ac:dyDescent="0.3">
      <c r="A22" s="28"/>
      <c r="C22" s="9"/>
      <c r="D22" s="15"/>
      <c r="E22" s="15"/>
      <c r="F22" s="22"/>
      <c r="G22" s="21"/>
    </row>
    <row r="23" spans="1:7" x14ac:dyDescent="0.3">
      <c r="A23" s="6" t="s">
        <v>258</v>
      </c>
      <c r="B23" s="6"/>
      <c r="C23" s="7">
        <f>SUM(C14:C22)</f>
        <v>2290</v>
      </c>
      <c r="D23" s="7">
        <f>SUM(D14:D22)</f>
        <v>0</v>
      </c>
      <c r="E23" s="7">
        <f>C23-D23</f>
        <v>2290</v>
      </c>
      <c r="F23" s="7"/>
      <c r="G23" s="7"/>
    </row>
    <row r="24" spans="1:7" x14ac:dyDescent="0.3">
      <c r="A24" s="28"/>
      <c r="C24" s="9"/>
      <c r="D24" s="15"/>
      <c r="E24" s="15"/>
      <c r="F24" s="22"/>
      <c r="G24" s="21"/>
    </row>
    <row r="25" spans="1:7" ht="15.6" x14ac:dyDescent="0.3">
      <c r="A25" s="113" t="s">
        <v>257</v>
      </c>
      <c r="B25" s="113"/>
      <c r="C25" s="113"/>
      <c r="D25" s="113"/>
      <c r="E25" s="113"/>
      <c r="F25" s="113"/>
      <c r="G25" s="113"/>
    </row>
    <row r="26" spans="1:7" x14ac:dyDescent="0.3">
      <c r="A26" s="6" t="s">
        <v>0</v>
      </c>
      <c r="B26" s="6" t="s">
        <v>1</v>
      </c>
      <c r="C26" s="7" t="s">
        <v>4</v>
      </c>
      <c r="D26" s="7" t="s">
        <v>12</v>
      </c>
      <c r="E26" s="6"/>
      <c r="F26" s="6"/>
      <c r="G26" s="6"/>
    </row>
    <row r="27" spans="1:7" x14ac:dyDescent="0.3">
      <c r="A27" s="27">
        <v>46176</v>
      </c>
      <c r="B27" s="2" t="s">
        <v>251</v>
      </c>
      <c r="C27" s="9">
        <f>4*21</f>
        <v>84</v>
      </c>
      <c r="D27" s="15"/>
      <c r="E27" s="15"/>
      <c r="F27" s="22"/>
      <c r="G27" s="21"/>
    </row>
    <row r="28" spans="1:7" x14ac:dyDescent="0.3">
      <c r="A28" s="27"/>
      <c r="C28" s="9"/>
      <c r="D28" s="15"/>
      <c r="E28" s="15"/>
      <c r="F28" s="22"/>
      <c r="G28" s="21"/>
    </row>
    <row r="29" spans="1:7" x14ac:dyDescent="0.3">
      <c r="A29" s="27"/>
      <c r="C29" s="9"/>
      <c r="D29" s="15"/>
      <c r="E29" s="15"/>
      <c r="F29" s="22"/>
      <c r="G29" s="21"/>
    </row>
    <row r="30" spans="1:7" x14ac:dyDescent="0.3">
      <c r="A30" s="27"/>
      <c r="C30" s="9"/>
      <c r="D30" s="15"/>
      <c r="E30" s="15"/>
      <c r="F30" s="22"/>
      <c r="G30" s="21"/>
    </row>
    <row r="31" spans="1:7" x14ac:dyDescent="0.3">
      <c r="A31" s="27"/>
      <c r="C31" s="9"/>
      <c r="D31" s="15"/>
      <c r="E31" s="15"/>
      <c r="F31" s="22"/>
      <c r="G31" s="21"/>
    </row>
    <row r="32" spans="1:7" x14ac:dyDescent="0.3">
      <c r="A32" s="27"/>
      <c r="C32" s="9"/>
      <c r="D32" s="15"/>
      <c r="E32" s="15"/>
      <c r="F32" s="22"/>
      <c r="G32" s="21"/>
    </row>
    <row r="33" spans="1:10" x14ac:dyDescent="0.3">
      <c r="A33" s="27"/>
      <c r="C33" s="9"/>
      <c r="D33" s="15"/>
      <c r="E33" s="15"/>
      <c r="F33" s="22"/>
      <c r="G33" s="21"/>
    </row>
    <row r="34" spans="1:10" x14ac:dyDescent="0.3">
      <c r="A34" s="6"/>
      <c r="B34" s="6"/>
      <c r="C34" s="7">
        <f>SUM(C26:C33)</f>
        <v>84</v>
      </c>
      <c r="D34" s="7">
        <f>SUM(D26:D33)</f>
        <v>0</v>
      </c>
      <c r="E34" s="7">
        <f>C34-D34</f>
        <v>84</v>
      </c>
      <c r="F34" s="7"/>
      <c r="G34" s="7"/>
    </row>
    <row r="35" spans="1:10" x14ac:dyDescent="0.3">
      <c r="A35" s="28"/>
    </row>
    <row r="36" spans="1:10" x14ac:dyDescent="0.3">
      <c r="A36" s="28"/>
    </row>
    <row r="37" spans="1:10" x14ac:dyDescent="0.3">
      <c r="A37" s="6"/>
      <c r="B37" s="6"/>
      <c r="C37" s="7">
        <f>SUM(C18:C36)</f>
        <v>4748</v>
      </c>
      <c r="D37" s="7"/>
      <c r="E37" s="7"/>
      <c r="F37" s="7"/>
      <c r="G37" s="7"/>
    </row>
    <row r="38" spans="1:10" x14ac:dyDescent="0.3">
      <c r="A38" s="28"/>
    </row>
    <row r="39" spans="1:10" x14ac:dyDescent="0.3">
      <c r="A39" s="28"/>
    </row>
    <row r="40" spans="1:10" ht="15.6" x14ac:dyDescent="0.3">
      <c r="A40" s="113" t="s">
        <v>27</v>
      </c>
      <c r="B40" s="113"/>
      <c r="C40" s="113"/>
      <c r="D40" s="113"/>
      <c r="E40" s="113"/>
      <c r="F40" s="113"/>
      <c r="G40" s="113"/>
    </row>
    <row r="41" spans="1:10" ht="15.6" x14ac:dyDescent="0.3">
      <c r="A41" s="113" t="s">
        <v>32</v>
      </c>
      <c r="B41" s="113"/>
      <c r="C41" s="113"/>
      <c r="D41" s="113"/>
      <c r="E41" s="113"/>
      <c r="F41" s="113"/>
      <c r="G41" s="113"/>
    </row>
    <row r="42" spans="1:10" x14ac:dyDescent="0.3">
      <c r="A42" s="6" t="s">
        <v>0</v>
      </c>
      <c r="B42" s="6" t="s">
        <v>1</v>
      </c>
      <c r="C42" s="7" t="s">
        <v>4</v>
      </c>
      <c r="D42" s="7" t="s">
        <v>11</v>
      </c>
      <c r="E42" s="7"/>
      <c r="F42" s="7"/>
      <c r="G42" s="7"/>
      <c r="J42" s="30"/>
    </row>
    <row r="43" spans="1:10" x14ac:dyDescent="0.3">
      <c r="A43" s="28">
        <v>46185</v>
      </c>
      <c r="C43" s="9"/>
      <c r="D43" s="2" t="s">
        <v>189</v>
      </c>
    </row>
    <row r="44" spans="1:10" x14ac:dyDescent="0.3">
      <c r="A44" s="28"/>
      <c r="C44" s="9"/>
    </row>
    <row r="45" spans="1:10" x14ac:dyDescent="0.3">
      <c r="A45" s="28"/>
      <c r="C45" s="9"/>
    </row>
    <row r="46" spans="1:10" x14ac:dyDescent="0.3">
      <c r="A46" s="28"/>
      <c r="C46" s="9"/>
    </row>
    <row r="47" spans="1:10" x14ac:dyDescent="0.3">
      <c r="A47" s="28"/>
      <c r="C47" s="9"/>
    </row>
    <row r="48" spans="1:10" x14ac:dyDescent="0.3">
      <c r="A48" s="28"/>
      <c r="C48" s="9"/>
    </row>
    <row r="49" spans="1:7" x14ac:dyDescent="0.3">
      <c r="A49" s="28"/>
      <c r="C49" s="9"/>
    </row>
    <row r="50" spans="1:7" x14ac:dyDescent="0.3">
      <c r="A50" s="6"/>
      <c r="B50" s="6"/>
      <c r="C50" s="7">
        <f>SUM(C42:C49)</f>
        <v>0</v>
      </c>
      <c r="D50" s="7"/>
      <c r="E50" s="7"/>
      <c r="F50" s="7"/>
      <c r="G50" s="7"/>
    </row>
    <row r="51" spans="1:7" x14ac:dyDescent="0.3">
      <c r="A51" s="28"/>
    </row>
    <row r="52" spans="1:7" ht="15.6" x14ac:dyDescent="0.3">
      <c r="A52" s="113" t="s">
        <v>22</v>
      </c>
      <c r="B52" s="113"/>
      <c r="C52" s="113"/>
      <c r="D52" s="113"/>
      <c r="E52" s="113"/>
      <c r="F52" s="113"/>
      <c r="G52" s="113"/>
    </row>
    <row r="53" spans="1:7" x14ac:dyDescent="0.3">
      <c r="A53" s="6" t="s">
        <v>0</v>
      </c>
      <c r="B53" s="6" t="s">
        <v>1</v>
      </c>
      <c r="C53" s="7" t="s">
        <v>4</v>
      </c>
      <c r="D53" s="7" t="s">
        <v>11</v>
      </c>
      <c r="E53" s="7"/>
      <c r="F53" s="7"/>
      <c r="G53" s="7"/>
    </row>
    <row r="54" spans="1:7" x14ac:dyDescent="0.3">
      <c r="A54" s="28">
        <v>46175</v>
      </c>
      <c r="B54" s="2" t="s">
        <v>156</v>
      </c>
      <c r="C54" s="3">
        <v>24</v>
      </c>
      <c r="D54" s="2" t="s">
        <v>227</v>
      </c>
    </row>
    <row r="55" spans="1:7" x14ac:dyDescent="0.3">
      <c r="A55" s="28">
        <v>46185</v>
      </c>
      <c r="B55" s="2" t="s">
        <v>156</v>
      </c>
      <c r="C55" s="3">
        <v>24</v>
      </c>
      <c r="D55" s="2" t="s">
        <v>227</v>
      </c>
    </row>
    <row r="56" spans="1:7" x14ac:dyDescent="0.3">
      <c r="A56" s="28"/>
    </row>
    <row r="57" spans="1:7" x14ac:dyDescent="0.3">
      <c r="A57" s="28"/>
    </row>
    <row r="58" spans="1:7" x14ac:dyDescent="0.3">
      <c r="A58" s="28"/>
    </row>
    <row r="59" spans="1:7" x14ac:dyDescent="0.3">
      <c r="A59" s="28"/>
    </row>
    <row r="60" spans="1:7" x14ac:dyDescent="0.3">
      <c r="A60" s="28"/>
    </row>
    <row r="61" spans="1:7" x14ac:dyDescent="0.3">
      <c r="A61" s="6"/>
      <c r="B61" s="6"/>
      <c r="C61" s="7">
        <f>SUM(C54:C60)</f>
        <v>48</v>
      </c>
      <c r="D61" s="7"/>
      <c r="E61" s="7"/>
      <c r="F61" s="7"/>
      <c r="G61" s="7"/>
    </row>
    <row r="62" spans="1:7" x14ac:dyDescent="0.3">
      <c r="A62" s="28"/>
      <c r="C62" s="5"/>
    </row>
    <row r="63" spans="1:7" ht="15.6" x14ac:dyDescent="0.3">
      <c r="A63" s="113" t="s">
        <v>23</v>
      </c>
      <c r="B63" s="113"/>
      <c r="C63" s="113"/>
      <c r="D63" s="113"/>
      <c r="E63" s="113"/>
      <c r="F63" s="113"/>
      <c r="G63" s="113"/>
    </row>
    <row r="64" spans="1:7" x14ac:dyDescent="0.3">
      <c r="A64" s="6" t="s">
        <v>0</v>
      </c>
      <c r="B64" s="6" t="s">
        <v>1</v>
      </c>
      <c r="C64" s="7" t="s">
        <v>4</v>
      </c>
      <c r="D64" s="7" t="s">
        <v>12</v>
      </c>
      <c r="E64" s="7"/>
      <c r="F64" s="7"/>
      <c r="G64" s="7"/>
    </row>
    <row r="65" spans="1:4" x14ac:dyDescent="0.3">
      <c r="A65" s="28">
        <v>46174</v>
      </c>
      <c r="B65" s="2" t="s">
        <v>5</v>
      </c>
      <c r="C65" s="9">
        <v>2000</v>
      </c>
      <c r="D65" s="2" t="s">
        <v>81</v>
      </c>
    </row>
    <row r="66" spans="1:4" x14ac:dyDescent="0.3">
      <c r="A66" s="28">
        <v>46174</v>
      </c>
      <c r="B66" s="2" t="s">
        <v>155</v>
      </c>
      <c r="C66" s="9">
        <v>86.31</v>
      </c>
      <c r="D66" s="2" t="s">
        <v>81</v>
      </c>
    </row>
    <row r="67" spans="1:4" x14ac:dyDescent="0.3">
      <c r="A67" s="28">
        <v>46174</v>
      </c>
      <c r="B67" s="2" t="s">
        <v>156</v>
      </c>
      <c r="C67" s="9">
        <v>136.56</v>
      </c>
      <c r="D67" s="2" t="s">
        <v>81</v>
      </c>
    </row>
    <row r="68" spans="1:4" x14ac:dyDescent="0.3">
      <c r="A68" s="28">
        <v>46176</v>
      </c>
      <c r="B68" s="2" t="s">
        <v>36</v>
      </c>
      <c r="C68" s="9">
        <v>1000</v>
      </c>
      <c r="D68" s="2" t="s">
        <v>81</v>
      </c>
    </row>
    <row r="69" spans="1:4" x14ac:dyDescent="0.3">
      <c r="A69" s="28">
        <v>46178</v>
      </c>
      <c r="B69" s="2" t="s">
        <v>19</v>
      </c>
      <c r="C69" s="9">
        <v>1580</v>
      </c>
      <c r="D69" s="2" t="s">
        <v>81</v>
      </c>
    </row>
    <row r="70" spans="1:4" x14ac:dyDescent="0.3">
      <c r="A70" s="27">
        <v>46181</v>
      </c>
      <c r="B70" s="15" t="s">
        <v>33</v>
      </c>
      <c r="C70" s="12">
        <v>153.26</v>
      </c>
      <c r="D70" s="15" t="s">
        <v>81</v>
      </c>
    </row>
    <row r="71" spans="1:4" x14ac:dyDescent="0.3">
      <c r="A71" s="28">
        <v>46183</v>
      </c>
      <c r="B71" s="2" t="s">
        <v>6</v>
      </c>
      <c r="C71" s="9">
        <v>136.75</v>
      </c>
      <c r="D71" s="2" t="s">
        <v>81</v>
      </c>
    </row>
    <row r="72" spans="1:4" x14ac:dyDescent="0.3">
      <c r="A72" s="27">
        <v>46181</v>
      </c>
      <c r="B72" s="15" t="s">
        <v>14</v>
      </c>
      <c r="C72" s="12">
        <v>500</v>
      </c>
      <c r="D72" s="2" t="s">
        <v>81</v>
      </c>
    </row>
    <row r="73" spans="1:4" x14ac:dyDescent="0.3">
      <c r="A73" s="28">
        <v>46188</v>
      </c>
      <c r="B73" s="2" t="s">
        <v>229</v>
      </c>
      <c r="C73" s="9">
        <v>644.28</v>
      </c>
      <c r="D73" s="2" t="s">
        <v>81</v>
      </c>
    </row>
    <row r="74" spans="1:4" x14ac:dyDescent="0.3">
      <c r="A74" s="29">
        <v>46190</v>
      </c>
      <c r="B74" s="23" t="s">
        <v>7</v>
      </c>
      <c r="C74" s="24">
        <v>409.9</v>
      </c>
      <c r="D74" s="23"/>
    </row>
    <row r="75" spans="1:4" x14ac:dyDescent="0.3">
      <c r="A75" s="29">
        <v>46191</v>
      </c>
      <c r="B75" s="23" t="s">
        <v>15</v>
      </c>
      <c r="C75" s="24">
        <v>941.6</v>
      </c>
      <c r="D75" s="23"/>
    </row>
    <row r="76" spans="1:4" x14ac:dyDescent="0.3">
      <c r="A76" s="29">
        <v>46191</v>
      </c>
      <c r="B76" s="23" t="s">
        <v>57</v>
      </c>
      <c r="C76" s="24"/>
      <c r="D76" s="23"/>
    </row>
    <row r="77" spans="1:4" x14ac:dyDescent="0.3">
      <c r="A77" s="29">
        <v>46193</v>
      </c>
      <c r="B77" s="23" t="s">
        <v>18</v>
      </c>
      <c r="C77" s="24">
        <v>1350</v>
      </c>
      <c r="D77" s="23"/>
    </row>
    <row r="78" spans="1:4" x14ac:dyDescent="0.3">
      <c r="A78" s="29">
        <v>46203</v>
      </c>
      <c r="B78" s="23" t="s">
        <v>56</v>
      </c>
      <c r="C78" s="24"/>
      <c r="D78" s="23"/>
    </row>
    <row r="79" spans="1:4" x14ac:dyDescent="0.3">
      <c r="A79" s="29">
        <v>46203</v>
      </c>
      <c r="B79" s="23" t="s">
        <v>25</v>
      </c>
      <c r="C79" s="24">
        <v>3000</v>
      </c>
      <c r="D79" s="23"/>
    </row>
    <row r="80" spans="1:4" x14ac:dyDescent="0.3">
      <c r="A80" s="29">
        <v>46203</v>
      </c>
      <c r="B80" s="23" t="s">
        <v>243</v>
      </c>
      <c r="C80" s="24"/>
      <c r="D80" s="23"/>
    </row>
    <row r="81" spans="1:10" x14ac:dyDescent="0.3">
      <c r="A81" s="29">
        <v>46203</v>
      </c>
      <c r="B81" s="23" t="s">
        <v>30</v>
      </c>
      <c r="C81" s="24">
        <f>C13*10%</f>
        <v>1500</v>
      </c>
      <c r="D81" s="23"/>
    </row>
    <row r="82" spans="1:10" x14ac:dyDescent="0.3">
      <c r="A82" s="6"/>
      <c r="B82" s="6"/>
      <c r="C82" s="7">
        <f>SUM(C65:C81)</f>
        <v>13438.66</v>
      </c>
      <c r="D82" s="6"/>
      <c r="E82" s="6"/>
      <c r="F82" s="6"/>
      <c r="G82" s="6"/>
    </row>
    <row r="83" spans="1:10" x14ac:dyDescent="0.3">
      <c r="A83" s="28"/>
    </row>
    <row r="84" spans="1:10" ht="15.6" x14ac:dyDescent="0.3">
      <c r="A84" s="113" t="s">
        <v>82</v>
      </c>
      <c r="B84" s="113"/>
      <c r="C84" s="113"/>
      <c r="D84" s="113"/>
      <c r="E84" s="113"/>
      <c r="F84" s="113"/>
      <c r="G84" s="113"/>
    </row>
    <row r="85" spans="1:10" x14ac:dyDescent="0.3">
      <c r="A85" s="6" t="s">
        <v>0</v>
      </c>
      <c r="B85" s="6" t="s">
        <v>1</v>
      </c>
      <c r="C85" s="7" t="s">
        <v>188</v>
      </c>
      <c r="D85" s="7" t="s">
        <v>184</v>
      </c>
      <c r="E85" s="6" t="s">
        <v>185</v>
      </c>
      <c r="F85" s="6" t="s">
        <v>186</v>
      </c>
      <c r="G85" s="6"/>
    </row>
    <row r="86" spans="1:10" x14ac:dyDescent="0.3">
      <c r="A86" s="28">
        <v>46186</v>
      </c>
      <c r="B86" s="2" t="s">
        <v>182</v>
      </c>
      <c r="C86" s="9">
        <f>6*350</f>
        <v>2100</v>
      </c>
      <c r="D86" s="13">
        <f>C86*80%</f>
        <v>1680</v>
      </c>
      <c r="E86" s="13">
        <f>C86*20%</f>
        <v>420</v>
      </c>
      <c r="F86" s="3" t="s">
        <v>187</v>
      </c>
    </row>
    <row r="87" spans="1:10" x14ac:dyDescent="0.3">
      <c r="A87" s="28">
        <v>46186</v>
      </c>
      <c r="B87" s="2" t="s">
        <v>183</v>
      </c>
      <c r="C87" s="9">
        <f>25*350</f>
        <v>8750</v>
      </c>
      <c r="D87" s="13">
        <f>C87*80%</f>
        <v>7000</v>
      </c>
      <c r="E87" s="13">
        <f>C87*20%</f>
        <v>1750</v>
      </c>
      <c r="F87" s="3" t="s">
        <v>187</v>
      </c>
      <c r="J87" s="9"/>
    </row>
    <row r="88" spans="1:10" x14ac:dyDescent="0.3">
      <c r="A88" s="29"/>
      <c r="B88" s="23"/>
      <c r="C88" s="24"/>
      <c r="D88" s="23"/>
      <c r="E88" s="23"/>
    </row>
    <row r="89" spans="1:10" x14ac:dyDescent="0.3">
      <c r="A89" s="28"/>
      <c r="C89" s="9"/>
    </row>
    <row r="90" spans="1:10" x14ac:dyDescent="0.3">
      <c r="A90" s="28"/>
      <c r="C90" s="9"/>
    </row>
    <row r="91" spans="1:10" x14ac:dyDescent="0.3">
      <c r="A91" s="6"/>
      <c r="B91" s="6"/>
      <c r="C91" s="7">
        <f>SUM(C86:C89)</f>
        <v>10850</v>
      </c>
      <c r="D91" s="7">
        <f t="shared" ref="D91:E91" si="0">SUM(D86:D89)</f>
        <v>8680</v>
      </c>
      <c r="E91" s="7">
        <f t="shared" si="0"/>
        <v>2170</v>
      </c>
      <c r="F91" s="6"/>
      <c r="G91" s="6"/>
    </row>
    <row r="92" spans="1:10" x14ac:dyDescent="0.3">
      <c r="A92" s="28"/>
      <c r="C92" s="16"/>
    </row>
    <row r="93" spans="1:10" x14ac:dyDescent="0.3">
      <c r="A93" s="27"/>
      <c r="B93" s="15"/>
      <c r="C93" s="12"/>
      <c r="D93" s="15"/>
      <c r="E93" s="15"/>
      <c r="F93" s="22"/>
      <c r="G93" s="21"/>
    </row>
    <row r="94" spans="1:10" x14ac:dyDescent="0.3">
      <c r="A94" s="27"/>
      <c r="B94" s="15"/>
      <c r="C94" s="12"/>
      <c r="D94" s="15"/>
      <c r="E94" s="15"/>
      <c r="F94" s="22"/>
      <c r="G94" s="21"/>
    </row>
    <row r="96" spans="1:10" x14ac:dyDescent="0.3">
      <c r="B96" s="4"/>
      <c r="C96" s="5"/>
      <c r="D96" s="4"/>
    </row>
    <row r="97" spans="2:4" x14ac:dyDescent="0.3">
      <c r="B97" s="4" t="s">
        <v>26</v>
      </c>
      <c r="C97" s="5">
        <f>C13</f>
        <v>15000</v>
      </c>
      <c r="D97" s="4"/>
    </row>
    <row r="98" spans="2:4" x14ac:dyDescent="0.3">
      <c r="B98" s="4" t="s">
        <v>27</v>
      </c>
      <c r="C98" s="5" t="e">
        <f>C50+C61+C82+C91+#REF!</f>
        <v>#REF!</v>
      </c>
    </row>
    <row r="99" spans="2:4" x14ac:dyDescent="0.3">
      <c r="B99" s="4" t="s">
        <v>28</v>
      </c>
      <c r="C99" s="5" t="e">
        <f>C97-C98</f>
        <v>#REF!</v>
      </c>
    </row>
    <row r="100" spans="2:4" x14ac:dyDescent="0.3">
      <c r="B100" s="4" t="s">
        <v>31</v>
      </c>
      <c r="C100" s="5" t="e">
        <f>C81+C99</f>
        <v>#REF!</v>
      </c>
    </row>
  </sheetData>
  <mergeCells count="10">
    <mergeCell ref="A52:G52"/>
    <mergeCell ref="A63:G63"/>
    <mergeCell ref="A84:G84"/>
    <mergeCell ref="A25:G25"/>
    <mergeCell ref="A1:O1"/>
    <mergeCell ref="A3:G3"/>
    <mergeCell ref="I3:O3"/>
    <mergeCell ref="A16:G16"/>
    <mergeCell ref="A40:G40"/>
    <mergeCell ref="A41:G4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C5ED-8C05-415F-9DF4-7D1267AA43CB}">
  <dimension ref="A1:E87"/>
  <sheetViews>
    <sheetView workbookViewId="0">
      <selection activeCell="K14" sqref="K14"/>
    </sheetView>
  </sheetViews>
  <sheetFormatPr defaultRowHeight="14.4" x14ac:dyDescent="0.3"/>
  <cols>
    <col min="1" max="1" width="6" customWidth="1"/>
    <col min="2" max="2" width="10.6640625" bestFit="1" customWidth="1"/>
    <col min="3" max="3" width="10.6640625" customWidth="1"/>
    <col min="4" max="4" width="11.44140625" customWidth="1"/>
    <col min="5" max="5" width="12.5546875" customWidth="1"/>
  </cols>
  <sheetData>
    <row r="1" spans="1:5" x14ac:dyDescent="0.3">
      <c r="A1" s="6"/>
      <c r="B1" s="6" t="s">
        <v>0</v>
      </c>
      <c r="C1" s="6" t="s">
        <v>60</v>
      </c>
      <c r="D1" s="6" t="s">
        <v>1</v>
      </c>
      <c r="E1" s="20" t="s">
        <v>4</v>
      </c>
    </row>
    <row r="2" spans="1:5" x14ac:dyDescent="0.3">
      <c r="A2" s="2">
        <v>1</v>
      </c>
      <c r="B2" s="28">
        <v>46024</v>
      </c>
      <c r="C2" s="28" t="str">
        <f>TEXT(B2,"MMM")</f>
        <v>jan</v>
      </c>
      <c r="D2" s="2" t="s">
        <v>3</v>
      </c>
      <c r="E2" s="53">
        <v>2000</v>
      </c>
    </row>
    <row r="3" spans="1:5" x14ac:dyDescent="0.3">
      <c r="A3" s="2">
        <v>2</v>
      </c>
      <c r="B3" s="28">
        <v>46027</v>
      </c>
      <c r="C3" s="28" t="str">
        <f t="shared" ref="C3:C65" si="0">TEXT(B3,"MMM")</f>
        <v>jan</v>
      </c>
      <c r="D3" s="2" t="s">
        <v>3</v>
      </c>
      <c r="E3" s="53">
        <v>3500</v>
      </c>
    </row>
    <row r="4" spans="1:5" x14ac:dyDescent="0.3">
      <c r="A4" s="2">
        <v>3</v>
      </c>
      <c r="B4" s="28">
        <v>46028</v>
      </c>
      <c r="C4" s="28" t="str">
        <f t="shared" si="0"/>
        <v>jan</v>
      </c>
      <c r="D4" s="2" t="s">
        <v>3</v>
      </c>
      <c r="E4" s="53">
        <v>2000</v>
      </c>
    </row>
    <row r="5" spans="1:5" x14ac:dyDescent="0.3">
      <c r="A5" s="2">
        <v>4</v>
      </c>
      <c r="B5" s="28">
        <v>46028</v>
      </c>
      <c r="C5" s="28" t="str">
        <f t="shared" si="0"/>
        <v>jan</v>
      </c>
      <c r="D5" s="42" t="s">
        <v>87</v>
      </c>
      <c r="E5" s="53">
        <v>60</v>
      </c>
    </row>
    <row r="6" spans="1:5" x14ac:dyDescent="0.3">
      <c r="A6" s="2">
        <v>5</v>
      </c>
      <c r="B6" s="28">
        <v>46029</v>
      </c>
      <c r="C6" s="28" t="str">
        <f t="shared" si="0"/>
        <v>jan</v>
      </c>
      <c r="D6" s="2" t="s">
        <v>3</v>
      </c>
      <c r="E6" s="53">
        <v>4000</v>
      </c>
    </row>
    <row r="7" spans="1:5" x14ac:dyDescent="0.3">
      <c r="A7" s="2">
        <v>6</v>
      </c>
      <c r="B7" s="27">
        <v>46029</v>
      </c>
      <c r="C7" s="28" t="str">
        <f t="shared" si="0"/>
        <v>jan</v>
      </c>
      <c r="D7" s="42" t="s">
        <v>87</v>
      </c>
      <c r="E7" s="53">
        <v>24</v>
      </c>
    </row>
    <row r="8" spans="1:5" x14ac:dyDescent="0.3">
      <c r="A8" s="2">
        <v>7</v>
      </c>
      <c r="B8" s="28">
        <v>46029</v>
      </c>
      <c r="C8" s="28" t="str">
        <f t="shared" si="0"/>
        <v>jan</v>
      </c>
      <c r="D8" s="2" t="s">
        <v>3</v>
      </c>
      <c r="E8" s="53">
        <v>5500</v>
      </c>
    </row>
    <row r="9" spans="1:5" x14ac:dyDescent="0.3">
      <c r="A9" s="2">
        <v>8</v>
      </c>
      <c r="B9" s="27">
        <v>46030</v>
      </c>
      <c r="C9" s="28" t="str">
        <f t="shared" si="0"/>
        <v>jan</v>
      </c>
      <c r="D9" s="42" t="s">
        <v>87</v>
      </c>
      <c r="E9" s="53">
        <v>48</v>
      </c>
    </row>
    <row r="10" spans="1:5" x14ac:dyDescent="0.3">
      <c r="A10" s="2">
        <v>9</v>
      </c>
      <c r="B10" s="28">
        <v>46031</v>
      </c>
      <c r="C10" s="28" t="str">
        <f t="shared" si="0"/>
        <v>jan</v>
      </c>
      <c r="D10" s="2" t="s">
        <v>3</v>
      </c>
      <c r="E10" s="53">
        <v>2500</v>
      </c>
    </row>
    <row r="11" spans="1:5" x14ac:dyDescent="0.3">
      <c r="A11" s="2">
        <v>10</v>
      </c>
      <c r="B11" s="29">
        <v>46034</v>
      </c>
      <c r="C11" s="28" t="str">
        <f t="shared" si="0"/>
        <v>jan</v>
      </c>
      <c r="D11" s="23" t="s">
        <v>2</v>
      </c>
      <c r="E11" s="90">
        <v>12200</v>
      </c>
    </row>
    <row r="12" spans="1:5" x14ac:dyDescent="0.3">
      <c r="A12" s="2">
        <v>11</v>
      </c>
      <c r="B12" s="29">
        <v>46034</v>
      </c>
      <c r="C12" s="28" t="str">
        <f t="shared" si="0"/>
        <v>jan</v>
      </c>
      <c r="D12" s="23" t="s">
        <v>123</v>
      </c>
      <c r="E12" s="90">
        <v>5000</v>
      </c>
    </row>
    <row r="13" spans="1:5" x14ac:dyDescent="0.3">
      <c r="A13" s="2">
        <v>12</v>
      </c>
      <c r="B13" s="28">
        <v>46035</v>
      </c>
      <c r="C13" s="28" t="str">
        <f t="shared" si="0"/>
        <v>jan</v>
      </c>
      <c r="D13" s="2" t="s">
        <v>3</v>
      </c>
      <c r="E13" s="91">
        <v>2000</v>
      </c>
    </row>
    <row r="14" spans="1:5" x14ac:dyDescent="0.3">
      <c r="A14" s="2">
        <v>13</v>
      </c>
      <c r="B14" s="28">
        <v>46036</v>
      </c>
      <c r="C14" s="28" t="str">
        <f t="shared" si="0"/>
        <v>jan</v>
      </c>
      <c r="D14" s="42" t="s">
        <v>87</v>
      </c>
      <c r="E14" s="91">
        <v>8937.5</v>
      </c>
    </row>
    <row r="15" spans="1:5" x14ac:dyDescent="0.3">
      <c r="A15" s="2">
        <v>14</v>
      </c>
      <c r="B15" s="28">
        <v>46037</v>
      </c>
      <c r="C15" s="28" t="str">
        <f t="shared" si="0"/>
        <v>jan</v>
      </c>
      <c r="D15" s="2" t="s">
        <v>3</v>
      </c>
      <c r="E15" s="91">
        <v>1900</v>
      </c>
    </row>
    <row r="16" spans="1:5" x14ac:dyDescent="0.3">
      <c r="A16" s="2">
        <v>15</v>
      </c>
      <c r="B16" s="27">
        <v>46037</v>
      </c>
      <c r="C16" s="28" t="str">
        <f t="shared" si="0"/>
        <v>jan</v>
      </c>
      <c r="D16" s="15" t="s">
        <v>96</v>
      </c>
      <c r="E16" s="91">
        <v>500</v>
      </c>
    </row>
    <row r="17" spans="1:5" x14ac:dyDescent="0.3">
      <c r="A17" s="2">
        <v>16</v>
      </c>
      <c r="B17" s="27">
        <v>46040</v>
      </c>
      <c r="C17" s="28" t="str">
        <f t="shared" si="0"/>
        <v>jan</v>
      </c>
      <c r="D17" s="15" t="s">
        <v>3</v>
      </c>
      <c r="E17" s="91">
        <v>2000</v>
      </c>
    </row>
    <row r="18" spans="1:5" x14ac:dyDescent="0.3">
      <c r="A18" s="2">
        <v>17</v>
      </c>
      <c r="B18" s="29">
        <v>46041</v>
      </c>
      <c r="C18" s="28" t="str">
        <f t="shared" si="0"/>
        <v>jan</v>
      </c>
      <c r="D18" s="23" t="s">
        <v>2</v>
      </c>
      <c r="E18" s="90">
        <v>8440</v>
      </c>
    </row>
    <row r="19" spans="1:5" x14ac:dyDescent="0.3">
      <c r="A19" s="2">
        <v>18</v>
      </c>
      <c r="B19" s="27">
        <v>46041</v>
      </c>
      <c r="C19" s="28" t="str">
        <f t="shared" si="0"/>
        <v>jan</v>
      </c>
      <c r="D19" s="15" t="s">
        <v>3</v>
      </c>
      <c r="E19" s="91">
        <v>2200</v>
      </c>
    </row>
    <row r="20" spans="1:5" x14ac:dyDescent="0.3">
      <c r="A20" s="2">
        <v>19</v>
      </c>
      <c r="B20" s="29">
        <v>46042</v>
      </c>
      <c r="C20" s="28" t="str">
        <f t="shared" si="0"/>
        <v>jan</v>
      </c>
      <c r="D20" s="23" t="s">
        <v>2</v>
      </c>
      <c r="E20" s="90">
        <v>7700</v>
      </c>
    </row>
    <row r="21" spans="1:5" x14ac:dyDescent="0.3">
      <c r="A21" s="2">
        <v>20</v>
      </c>
      <c r="B21" s="28">
        <v>46044</v>
      </c>
      <c r="C21" s="28" t="str">
        <f t="shared" si="0"/>
        <v>jan</v>
      </c>
      <c r="D21" s="2" t="s">
        <v>3</v>
      </c>
      <c r="E21" s="91">
        <v>2800</v>
      </c>
    </row>
    <row r="22" spans="1:5" x14ac:dyDescent="0.3">
      <c r="A22" s="2">
        <v>21</v>
      </c>
      <c r="B22" s="28">
        <v>46048</v>
      </c>
      <c r="C22" s="28" t="str">
        <f t="shared" si="0"/>
        <v>jan</v>
      </c>
      <c r="D22" s="2" t="s">
        <v>125</v>
      </c>
      <c r="E22" s="53">
        <v>700</v>
      </c>
    </row>
    <row r="23" spans="1:5" x14ac:dyDescent="0.3">
      <c r="A23" s="2">
        <v>22</v>
      </c>
      <c r="B23" s="29">
        <v>46049</v>
      </c>
      <c r="C23" s="28" t="str">
        <f t="shared" si="0"/>
        <v>jan</v>
      </c>
      <c r="D23" s="23" t="s">
        <v>3</v>
      </c>
      <c r="E23" s="53">
        <v>2700</v>
      </c>
    </row>
    <row r="24" spans="1:5" x14ac:dyDescent="0.3">
      <c r="A24" s="2">
        <v>23</v>
      </c>
      <c r="B24" s="41">
        <v>46052</v>
      </c>
      <c r="C24" s="28" t="str">
        <f t="shared" si="0"/>
        <v>jan</v>
      </c>
      <c r="D24" s="43" t="s">
        <v>3</v>
      </c>
      <c r="E24" s="53">
        <v>1500</v>
      </c>
    </row>
    <row r="25" spans="1:5" x14ac:dyDescent="0.3">
      <c r="A25" s="2">
        <v>24</v>
      </c>
      <c r="B25" s="41">
        <v>46055</v>
      </c>
      <c r="C25" s="28" t="str">
        <f t="shared" si="0"/>
        <v>fev</v>
      </c>
      <c r="D25" s="42" t="s">
        <v>2</v>
      </c>
      <c r="E25" s="53">
        <v>22550</v>
      </c>
    </row>
    <row r="26" spans="1:5" x14ac:dyDescent="0.3">
      <c r="A26" s="2">
        <v>25</v>
      </c>
      <c r="B26" s="41">
        <v>46057</v>
      </c>
      <c r="C26" s="28" t="str">
        <f t="shared" si="0"/>
        <v>fev</v>
      </c>
      <c r="D26" s="42" t="s">
        <v>2</v>
      </c>
      <c r="E26" s="53">
        <v>17880</v>
      </c>
    </row>
    <row r="27" spans="1:5" x14ac:dyDescent="0.3">
      <c r="A27" s="2">
        <v>26</v>
      </c>
      <c r="B27" s="41">
        <v>46057</v>
      </c>
      <c r="C27" s="28" t="str">
        <f t="shared" ref="C27" si="1">TEXT(B27,"MMM")</f>
        <v>fev</v>
      </c>
      <c r="D27" s="42" t="s">
        <v>123</v>
      </c>
      <c r="E27" s="53">
        <v>5000</v>
      </c>
    </row>
    <row r="28" spans="1:5" x14ac:dyDescent="0.3">
      <c r="A28" s="2">
        <v>27</v>
      </c>
      <c r="B28" s="41">
        <v>46059</v>
      </c>
      <c r="C28" s="28" t="str">
        <f t="shared" si="0"/>
        <v>fev</v>
      </c>
      <c r="D28" s="42" t="s">
        <v>3</v>
      </c>
      <c r="E28" s="53">
        <v>3000</v>
      </c>
    </row>
    <row r="29" spans="1:5" x14ac:dyDescent="0.3">
      <c r="A29" s="2">
        <v>28</v>
      </c>
      <c r="B29" s="41">
        <v>46057</v>
      </c>
      <c r="C29" s="28" t="str">
        <f t="shared" si="0"/>
        <v>fev</v>
      </c>
      <c r="D29" s="42" t="s">
        <v>87</v>
      </c>
      <c r="E29" s="53">
        <v>60</v>
      </c>
    </row>
    <row r="30" spans="1:5" x14ac:dyDescent="0.3">
      <c r="A30" s="2">
        <v>29</v>
      </c>
      <c r="B30" s="49">
        <v>46063</v>
      </c>
      <c r="C30" s="28" t="str">
        <f t="shared" si="0"/>
        <v>fev</v>
      </c>
      <c r="D30" s="50" t="s">
        <v>3</v>
      </c>
      <c r="E30" s="87">
        <v>22000</v>
      </c>
    </row>
    <row r="31" spans="1:5" x14ac:dyDescent="0.3">
      <c r="A31" s="2">
        <v>30</v>
      </c>
      <c r="B31" s="49">
        <v>46063</v>
      </c>
      <c r="C31" s="28" t="str">
        <f t="shared" si="0"/>
        <v>fev</v>
      </c>
      <c r="D31" s="2" t="s">
        <v>125</v>
      </c>
      <c r="E31" s="87">
        <v>2000</v>
      </c>
    </row>
    <row r="32" spans="1:5" x14ac:dyDescent="0.3">
      <c r="A32" s="2">
        <v>31</v>
      </c>
      <c r="B32" s="41">
        <v>46072</v>
      </c>
      <c r="C32" s="28" t="str">
        <f t="shared" si="0"/>
        <v>fev</v>
      </c>
      <c r="D32" s="42" t="s">
        <v>3</v>
      </c>
      <c r="E32" s="53">
        <v>1400</v>
      </c>
    </row>
    <row r="33" spans="1:5" x14ac:dyDescent="0.3">
      <c r="A33" s="2">
        <v>32</v>
      </c>
      <c r="B33" s="41">
        <v>46073</v>
      </c>
      <c r="C33" s="28" t="str">
        <f t="shared" si="0"/>
        <v>fev</v>
      </c>
      <c r="D33" s="42" t="s">
        <v>3</v>
      </c>
      <c r="E33" s="53">
        <v>1800</v>
      </c>
    </row>
    <row r="34" spans="1:5" x14ac:dyDescent="0.3">
      <c r="A34" s="2">
        <v>33</v>
      </c>
      <c r="B34" s="41">
        <v>46076</v>
      </c>
      <c r="C34" s="28" t="str">
        <f t="shared" si="0"/>
        <v>fev</v>
      </c>
      <c r="D34" s="42" t="s">
        <v>87</v>
      </c>
      <c r="E34" s="53">
        <v>108</v>
      </c>
    </row>
    <row r="35" spans="1:5" x14ac:dyDescent="0.3">
      <c r="A35" s="2">
        <v>34</v>
      </c>
      <c r="B35" s="41">
        <v>46076</v>
      </c>
      <c r="C35" s="28" t="str">
        <f t="shared" si="0"/>
        <v>fev</v>
      </c>
      <c r="D35" s="42" t="s">
        <v>87</v>
      </c>
      <c r="E35" s="53">
        <v>68</v>
      </c>
    </row>
    <row r="36" spans="1:5" x14ac:dyDescent="0.3">
      <c r="A36" s="2">
        <v>35</v>
      </c>
      <c r="B36" s="41">
        <v>46077</v>
      </c>
      <c r="C36" s="28" t="str">
        <f t="shared" si="0"/>
        <v>fev</v>
      </c>
      <c r="D36" s="42" t="s">
        <v>3</v>
      </c>
      <c r="E36" s="53">
        <v>3250</v>
      </c>
    </row>
    <row r="37" spans="1:5" x14ac:dyDescent="0.3">
      <c r="A37" s="2">
        <v>36</v>
      </c>
      <c r="B37" s="41">
        <v>46077</v>
      </c>
      <c r="C37" s="28" t="str">
        <f t="shared" si="0"/>
        <v>fev</v>
      </c>
      <c r="D37" s="42" t="s">
        <v>87</v>
      </c>
      <c r="E37" s="53">
        <v>55</v>
      </c>
    </row>
    <row r="38" spans="1:5" x14ac:dyDescent="0.3">
      <c r="A38" s="2">
        <v>37</v>
      </c>
      <c r="B38" s="41">
        <v>46078</v>
      </c>
      <c r="C38" s="28" t="str">
        <f t="shared" si="0"/>
        <v>fev</v>
      </c>
      <c r="D38" s="42" t="s">
        <v>123</v>
      </c>
      <c r="E38" s="53">
        <v>5200</v>
      </c>
    </row>
    <row r="39" spans="1:5" x14ac:dyDescent="0.3">
      <c r="A39" s="2">
        <v>38</v>
      </c>
      <c r="B39" s="49">
        <v>46078</v>
      </c>
      <c r="C39" s="28" t="str">
        <f t="shared" si="0"/>
        <v>fev</v>
      </c>
      <c r="D39" s="50" t="s">
        <v>3</v>
      </c>
      <c r="E39" s="87">
        <v>3200</v>
      </c>
    </row>
    <row r="40" spans="1:5" x14ac:dyDescent="0.3">
      <c r="A40" s="2">
        <v>39</v>
      </c>
      <c r="B40" s="49">
        <v>46079</v>
      </c>
      <c r="C40" s="28" t="str">
        <f t="shared" si="0"/>
        <v>fev</v>
      </c>
      <c r="D40" s="50" t="s">
        <v>2</v>
      </c>
      <c r="E40" s="87">
        <v>9710</v>
      </c>
    </row>
    <row r="41" spans="1:5" x14ac:dyDescent="0.3">
      <c r="A41" s="2">
        <v>40</v>
      </c>
      <c r="B41" s="41">
        <v>46079</v>
      </c>
      <c r="C41" s="28" t="str">
        <f t="shared" si="0"/>
        <v>fev</v>
      </c>
      <c r="D41" s="42" t="s">
        <v>3</v>
      </c>
      <c r="E41" s="53">
        <v>2000</v>
      </c>
    </row>
    <row r="42" spans="1:5" x14ac:dyDescent="0.3">
      <c r="A42" s="2">
        <v>41</v>
      </c>
      <c r="B42" s="41">
        <v>46080</v>
      </c>
      <c r="C42" s="28" t="str">
        <f t="shared" si="0"/>
        <v>fev</v>
      </c>
      <c r="D42" s="42" t="s">
        <v>3</v>
      </c>
      <c r="E42" s="53">
        <v>6000</v>
      </c>
    </row>
    <row r="43" spans="1:5" x14ac:dyDescent="0.3">
      <c r="A43" s="2">
        <v>42</v>
      </c>
      <c r="B43" s="41">
        <v>46083</v>
      </c>
      <c r="C43" s="28" t="str">
        <f t="shared" si="0"/>
        <v>mar</v>
      </c>
      <c r="D43" s="42" t="s">
        <v>3</v>
      </c>
      <c r="E43" s="53">
        <v>2475</v>
      </c>
    </row>
    <row r="44" spans="1:5" x14ac:dyDescent="0.3">
      <c r="A44" s="2">
        <v>43</v>
      </c>
      <c r="B44" s="41">
        <v>46084</v>
      </c>
      <c r="C44" s="28" t="str">
        <f t="shared" si="0"/>
        <v>mar</v>
      </c>
      <c r="D44" s="42" t="s">
        <v>3</v>
      </c>
      <c r="E44" s="53">
        <v>2750</v>
      </c>
    </row>
    <row r="45" spans="1:5" x14ac:dyDescent="0.3">
      <c r="A45" s="2">
        <v>44</v>
      </c>
      <c r="B45" s="41">
        <v>46085</v>
      </c>
      <c r="C45" s="28" t="str">
        <f t="shared" si="0"/>
        <v>mar</v>
      </c>
      <c r="D45" s="42" t="s">
        <v>3</v>
      </c>
      <c r="E45" s="53">
        <v>3375</v>
      </c>
    </row>
    <row r="46" spans="1:5" x14ac:dyDescent="0.3">
      <c r="A46" s="2">
        <v>45</v>
      </c>
      <c r="B46" s="41">
        <v>46086</v>
      </c>
      <c r="C46" s="28" t="str">
        <f t="shared" si="0"/>
        <v>mar</v>
      </c>
      <c r="D46" s="42" t="s">
        <v>3</v>
      </c>
      <c r="E46" s="53">
        <v>3375</v>
      </c>
    </row>
    <row r="47" spans="1:5" x14ac:dyDescent="0.3">
      <c r="A47" s="2">
        <v>46</v>
      </c>
      <c r="B47" s="41">
        <v>46087</v>
      </c>
      <c r="C47" s="28" t="str">
        <f t="shared" si="0"/>
        <v>mar</v>
      </c>
      <c r="D47" s="42" t="s">
        <v>2</v>
      </c>
      <c r="E47" s="53">
        <v>15112</v>
      </c>
    </row>
    <row r="48" spans="1:5" x14ac:dyDescent="0.3">
      <c r="A48" s="2">
        <v>47</v>
      </c>
      <c r="B48" s="41">
        <v>46090</v>
      </c>
      <c r="C48" s="28" t="str">
        <f t="shared" si="0"/>
        <v>mar</v>
      </c>
      <c r="D48" s="42" t="s">
        <v>3</v>
      </c>
      <c r="E48" s="53">
        <v>2000</v>
      </c>
    </row>
    <row r="49" spans="1:5" x14ac:dyDescent="0.3">
      <c r="A49" s="2">
        <v>48</v>
      </c>
      <c r="B49" s="41">
        <v>46093</v>
      </c>
      <c r="C49" s="28" t="str">
        <f t="shared" si="0"/>
        <v>mar</v>
      </c>
      <c r="D49" s="42" t="s">
        <v>3</v>
      </c>
      <c r="E49" s="53">
        <v>2675</v>
      </c>
    </row>
    <row r="50" spans="1:5" x14ac:dyDescent="0.3">
      <c r="A50" s="2">
        <v>49</v>
      </c>
      <c r="B50" s="41">
        <v>46097</v>
      </c>
      <c r="C50" s="28" t="str">
        <f t="shared" si="0"/>
        <v>mar</v>
      </c>
      <c r="D50" s="42" t="s">
        <v>3</v>
      </c>
      <c r="E50" s="53">
        <v>2000</v>
      </c>
    </row>
    <row r="51" spans="1:5" x14ac:dyDescent="0.3">
      <c r="A51" s="2">
        <v>50</v>
      </c>
      <c r="B51" s="41">
        <v>46097</v>
      </c>
      <c r="C51" s="28" t="str">
        <f t="shared" si="0"/>
        <v>mar</v>
      </c>
      <c r="D51" s="42" t="s">
        <v>87</v>
      </c>
      <c r="E51" s="53">
        <v>36</v>
      </c>
    </row>
    <row r="52" spans="1:5" x14ac:dyDescent="0.3">
      <c r="A52" s="2">
        <v>51</v>
      </c>
      <c r="B52" s="41">
        <v>46097</v>
      </c>
      <c r="C52" s="28" t="str">
        <f t="shared" si="0"/>
        <v>mar</v>
      </c>
      <c r="D52" s="42" t="s">
        <v>87</v>
      </c>
      <c r="E52" s="53">
        <v>18</v>
      </c>
    </row>
    <row r="53" spans="1:5" x14ac:dyDescent="0.3">
      <c r="A53" s="2">
        <v>52</v>
      </c>
      <c r="B53" s="41">
        <v>46099</v>
      </c>
      <c r="C53" s="28" t="str">
        <f t="shared" si="0"/>
        <v>mar</v>
      </c>
      <c r="D53" s="42" t="s">
        <v>3</v>
      </c>
      <c r="E53" s="53">
        <v>2500</v>
      </c>
    </row>
    <row r="54" spans="1:5" x14ac:dyDescent="0.3">
      <c r="A54" s="2">
        <v>53</v>
      </c>
      <c r="B54" s="41">
        <v>46104</v>
      </c>
      <c r="C54" s="28" t="str">
        <f t="shared" si="0"/>
        <v>mar</v>
      </c>
      <c r="D54" s="42" t="s">
        <v>3</v>
      </c>
      <c r="E54" s="53">
        <v>4250</v>
      </c>
    </row>
    <row r="55" spans="1:5" x14ac:dyDescent="0.3">
      <c r="A55" s="2">
        <v>54</v>
      </c>
      <c r="B55" s="41">
        <v>46104</v>
      </c>
      <c r="C55" s="28" t="str">
        <f t="shared" si="0"/>
        <v>mar</v>
      </c>
      <c r="D55" s="42" t="s">
        <v>3</v>
      </c>
      <c r="E55" s="53">
        <v>8250</v>
      </c>
    </row>
    <row r="56" spans="1:5" x14ac:dyDescent="0.3">
      <c r="A56" s="2">
        <v>56</v>
      </c>
      <c r="B56" s="41">
        <v>46105</v>
      </c>
      <c r="C56" s="28" t="str">
        <f t="shared" si="0"/>
        <v>mar</v>
      </c>
      <c r="D56" s="42" t="s">
        <v>3</v>
      </c>
      <c r="E56" s="53">
        <v>3750</v>
      </c>
    </row>
    <row r="57" spans="1:5" x14ac:dyDescent="0.3">
      <c r="A57" s="2">
        <v>57</v>
      </c>
      <c r="B57" s="41">
        <v>46106</v>
      </c>
      <c r="C57" s="28" t="str">
        <f t="shared" si="0"/>
        <v>mar</v>
      </c>
      <c r="D57" s="42" t="s">
        <v>3</v>
      </c>
      <c r="E57" s="53">
        <v>2000</v>
      </c>
    </row>
    <row r="58" spans="1:5" x14ac:dyDescent="0.3">
      <c r="A58" s="2">
        <v>58</v>
      </c>
      <c r="B58" s="41">
        <v>46107</v>
      </c>
      <c r="C58" s="28" t="str">
        <f t="shared" si="0"/>
        <v>mar</v>
      </c>
      <c r="D58" s="15" t="s">
        <v>96</v>
      </c>
      <c r="E58" s="53">
        <v>1200</v>
      </c>
    </row>
    <row r="59" spans="1:5" x14ac:dyDescent="0.3">
      <c r="A59" s="2">
        <v>59</v>
      </c>
      <c r="B59" s="41">
        <v>46108</v>
      </c>
      <c r="C59" s="28" t="str">
        <f t="shared" si="0"/>
        <v>mar</v>
      </c>
      <c r="D59" s="42" t="s">
        <v>3</v>
      </c>
      <c r="E59" s="53">
        <v>2750</v>
      </c>
    </row>
    <row r="60" spans="1:5" x14ac:dyDescent="0.3">
      <c r="A60" s="2">
        <v>60</v>
      </c>
      <c r="B60" s="41">
        <v>46110</v>
      </c>
      <c r="C60" s="28" t="str">
        <f t="shared" si="0"/>
        <v>mar</v>
      </c>
      <c r="D60" s="42" t="s">
        <v>3</v>
      </c>
      <c r="E60" s="53">
        <v>2000</v>
      </c>
    </row>
    <row r="61" spans="1:5" x14ac:dyDescent="0.3">
      <c r="A61" s="2">
        <v>61</v>
      </c>
      <c r="B61" s="41">
        <v>46107</v>
      </c>
      <c r="C61" s="28" t="str">
        <f t="shared" si="0"/>
        <v>mar</v>
      </c>
      <c r="D61" s="42" t="s">
        <v>2</v>
      </c>
      <c r="E61" s="53">
        <v>52250</v>
      </c>
    </row>
    <row r="62" spans="1:5" x14ac:dyDescent="0.3">
      <c r="A62" s="2">
        <v>62</v>
      </c>
      <c r="B62" s="41">
        <v>46111</v>
      </c>
      <c r="C62" s="28" t="str">
        <f t="shared" si="0"/>
        <v>mar</v>
      </c>
      <c r="D62" s="42" t="s">
        <v>3</v>
      </c>
      <c r="E62" s="53">
        <v>2000</v>
      </c>
    </row>
    <row r="63" spans="1:5" x14ac:dyDescent="0.3">
      <c r="A63" s="2">
        <v>63</v>
      </c>
      <c r="B63" s="41">
        <v>46114</v>
      </c>
      <c r="C63" s="28" t="str">
        <f t="shared" si="0"/>
        <v>abr</v>
      </c>
      <c r="D63" s="42" t="s">
        <v>2</v>
      </c>
      <c r="E63" s="88">
        <v>7000</v>
      </c>
    </row>
    <row r="64" spans="1:5" x14ac:dyDescent="0.3">
      <c r="A64" s="2">
        <v>64</v>
      </c>
      <c r="B64" s="41">
        <v>46119</v>
      </c>
      <c r="C64" s="28" t="str">
        <f t="shared" si="0"/>
        <v>abr</v>
      </c>
      <c r="D64" s="42" t="s">
        <v>87</v>
      </c>
      <c r="E64" s="88">
        <v>6400</v>
      </c>
    </row>
    <row r="65" spans="1:5" x14ac:dyDescent="0.3">
      <c r="A65" s="2">
        <v>65</v>
      </c>
      <c r="B65" s="41">
        <v>46122</v>
      </c>
      <c r="C65" s="28" t="str">
        <f t="shared" si="0"/>
        <v>abr</v>
      </c>
      <c r="D65" s="42" t="s">
        <v>3</v>
      </c>
      <c r="E65" s="88">
        <v>3500</v>
      </c>
    </row>
    <row r="66" spans="1:5" x14ac:dyDescent="0.3">
      <c r="A66" s="2">
        <v>66</v>
      </c>
      <c r="B66" s="41">
        <v>46125</v>
      </c>
      <c r="C66" s="28" t="str">
        <f t="shared" ref="C66:C87" si="2">TEXT(B66,"MMM")</f>
        <v>abr</v>
      </c>
      <c r="D66" s="42" t="s">
        <v>3</v>
      </c>
      <c r="E66" s="88">
        <v>2500</v>
      </c>
    </row>
    <row r="67" spans="1:5" x14ac:dyDescent="0.3">
      <c r="A67" s="2">
        <v>67</v>
      </c>
      <c r="B67" s="41">
        <v>46127</v>
      </c>
      <c r="C67" s="28" t="str">
        <f t="shared" si="2"/>
        <v>abr</v>
      </c>
      <c r="D67" s="42" t="s">
        <v>3</v>
      </c>
      <c r="E67" s="88">
        <v>3500</v>
      </c>
    </row>
    <row r="68" spans="1:5" x14ac:dyDescent="0.3">
      <c r="A68" s="2">
        <v>68</v>
      </c>
      <c r="B68" s="41">
        <v>46129</v>
      </c>
      <c r="C68" s="28" t="str">
        <f t="shared" si="2"/>
        <v>abr</v>
      </c>
      <c r="D68" s="42" t="s">
        <v>3</v>
      </c>
      <c r="E68" s="88">
        <v>2000</v>
      </c>
    </row>
    <row r="69" spans="1:5" x14ac:dyDescent="0.3">
      <c r="A69" s="2">
        <v>69</v>
      </c>
      <c r="B69" s="41">
        <v>46135</v>
      </c>
      <c r="C69" s="28" t="str">
        <f t="shared" si="2"/>
        <v>abr</v>
      </c>
      <c r="D69" s="42" t="s">
        <v>3</v>
      </c>
      <c r="E69" s="88">
        <v>2000</v>
      </c>
    </row>
    <row r="70" spans="1:5" x14ac:dyDescent="0.3">
      <c r="A70" s="2">
        <v>70</v>
      </c>
      <c r="B70" s="41">
        <v>46139</v>
      </c>
      <c r="C70" s="28" t="str">
        <f t="shared" si="2"/>
        <v>abr</v>
      </c>
      <c r="D70" s="42" t="s">
        <v>3</v>
      </c>
      <c r="E70" s="88">
        <v>2000</v>
      </c>
    </row>
    <row r="71" spans="1:5" x14ac:dyDescent="0.3">
      <c r="A71" s="2">
        <v>71</v>
      </c>
      <c r="B71" s="68">
        <v>46149</v>
      </c>
      <c r="C71" s="28" t="str">
        <f t="shared" si="2"/>
        <v>mai</v>
      </c>
      <c r="D71" s="42" t="s">
        <v>3</v>
      </c>
      <c r="E71" s="88">
        <v>4000</v>
      </c>
    </row>
    <row r="72" spans="1:5" x14ac:dyDescent="0.3">
      <c r="A72" s="2">
        <v>72</v>
      </c>
      <c r="B72" s="68">
        <v>46150</v>
      </c>
      <c r="C72" s="28" t="str">
        <f t="shared" si="2"/>
        <v>mai</v>
      </c>
      <c r="D72" s="42" t="s">
        <v>3</v>
      </c>
      <c r="E72" s="88">
        <v>2000</v>
      </c>
    </row>
    <row r="73" spans="1:5" x14ac:dyDescent="0.3">
      <c r="A73" s="2">
        <v>73</v>
      </c>
      <c r="B73" s="68">
        <v>46153</v>
      </c>
      <c r="C73" s="28" t="str">
        <f t="shared" si="2"/>
        <v>mai</v>
      </c>
      <c r="D73" s="42" t="s">
        <v>3</v>
      </c>
      <c r="E73" s="88">
        <v>2000</v>
      </c>
    </row>
    <row r="74" spans="1:5" x14ac:dyDescent="0.3">
      <c r="A74" s="2">
        <v>74</v>
      </c>
      <c r="B74" s="68">
        <v>46157</v>
      </c>
      <c r="C74" s="28" t="str">
        <f t="shared" si="2"/>
        <v>mai</v>
      </c>
      <c r="D74" s="42" t="s">
        <v>3</v>
      </c>
      <c r="E74" s="88">
        <v>2400</v>
      </c>
    </row>
    <row r="75" spans="1:5" x14ac:dyDescent="0.3">
      <c r="A75" s="2">
        <v>75</v>
      </c>
      <c r="B75" s="68">
        <v>46159</v>
      </c>
      <c r="C75" s="28" t="str">
        <f t="shared" si="2"/>
        <v>mai</v>
      </c>
      <c r="D75" s="42" t="s">
        <v>3</v>
      </c>
      <c r="E75" s="88">
        <v>36</v>
      </c>
    </row>
    <row r="76" spans="1:5" x14ac:dyDescent="0.3">
      <c r="A76" s="2">
        <v>76</v>
      </c>
      <c r="B76" s="68">
        <v>46160</v>
      </c>
      <c r="C76" s="28" t="str">
        <f t="shared" si="2"/>
        <v>mai</v>
      </c>
      <c r="D76" s="42" t="s">
        <v>3</v>
      </c>
      <c r="E76" s="88">
        <v>2500</v>
      </c>
    </row>
    <row r="77" spans="1:5" x14ac:dyDescent="0.3">
      <c r="A77" s="2">
        <v>77</v>
      </c>
      <c r="B77" s="68">
        <v>46162</v>
      </c>
      <c r="C77" s="28" t="str">
        <f t="shared" si="2"/>
        <v>mai</v>
      </c>
      <c r="D77" s="42" t="s">
        <v>3</v>
      </c>
      <c r="E77" s="88">
        <v>3000</v>
      </c>
    </row>
    <row r="78" spans="1:5" x14ac:dyDescent="0.3">
      <c r="A78" s="2">
        <v>78</v>
      </c>
      <c r="B78" s="68">
        <v>46164</v>
      </c>
      <c r="C78" s="28" t="str">
        <f t="shared" si="2"/>
        <v>mai</v>
      </c>
      <c r="D78" s="42" t="s">
        <v>3</v>
      </c>
      <c r="E78" s="88">
        <v>3500</v>
      </c>
    </row>
    <row r="79" spans="1:5" x14ac:dyDescent="0.3">
      <c r="A79" s="2">
        <v>79</v>
      </c>
      <c r="B79" s="68">
        <v>46169</v>
      </c>
      <c r="C79" s="28" t="str">
        <f t="shared" si="2"/>
        <v>mai</v>
      </c>
      <c r="D79" s="42" t="s">
        <v>3</v>
      </c>
      <c r="E79" s="88">
        <v>3500</v>
      </c>
    </row>
    <row r="80" spans="1:5" x14ac:dyDescent="0.3">
      <c r="A80" s="2">
        <v>80</v>
      </c>
      <c r="B80" s="68">
        <v>46170</v>
      </c>
      <c r="C80" s="28" t="str">
        <f t="shared" si="2"/>
        <v>mai</v>
      </c>
      <c r="D80" s="42" t="s">
        <v>2</v>
      </c>
      <c r="E80" s="88">
        <v>17994</v>
      </c>
    </row>
    <row r="81" spans="1:5" x14ac:dyDescent="0.3">
      <c r="A81" s="2">
        <v>81</v>
      </c>
      <c r="B81" s="41">
        <v>46171</v>
      </c>
      <c r="C81" s="28" t="str">
        <f t="shared" si="2"/>
        <v>mai</v>
      </c>
      <c r="D81" s="42" t="s">
        <v>3</v>
      </c>
      <c r="E81" s="88">
        <v>2000</v>
      </c>
    </row>
    <row r="82" spans="1:5" x14ac:dyDescent="0.3">
      <c r="A82" s="2"/>
      <c r="B82" s="1"/>
      <c r="C82" s="28" t="str">
        <f t="shared" si="2"/>
        <v>jan</v>
      </c>
      <c r="D82" s="2"/>
      <c r="E82" s="89"/>
    </row>
    <row r="83" spans="1:5" x14ac:dyDescent="0.3">
      <c r="A83" s="2"/>
      <c r="B83" s="1"/>
      <c r="C83" s="28" t="str">
        <f t="shared" si="2"/>
        <v>jan</v>
      </c>
      <c r="D83" s="2"/>
      <c r="E83" s="31"/>
    </row>
    <row r="84" spans="1:5" x14ac:dyDescent="0.3">
      <c r="A84" s="2"/>
      <c r="B84" s="1"/>
      <c r="C84" s="28" t="str">
        <f t="shared" si="2"/>
        <v>jan</v>
      </c>
      <c r="D84" s="2"/>
      <c r="E84" s="31"/>
    </row>
    <row r="85" spans="1:5" x14ac:dyDescent="0.3">
      <c r="C85" s="28" t="str">
        <f t="shared" si="2"/>
        <v>jan</v>
      </c>
      <c r="E85" s="8"/>
    </row>
    <row r="86" spans="1:5" x14ac:dyDescent="0.3">
      <c r="C86" s="28" t="str">
        <f t="shared" si="2"/>
        <v>jan</v>
      </c>
    </row>
    <row r="87" spans="1:5" x14ac:dyDescent="0.3">
      <c r="C87" s="28" t="str">
        <f t="shared" si="2"/>
        <v>jan</v>
      </c>
    </row>
  </sheetData>
  <autoFilter ref="A1:E67" xr:uid="{4393C5ED-8C05-415F-9DF4-7D1267AA43CB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5203-69CE-49BC-81BA-0F55DA28DDEB}">
  <dimension ref="A1:E225"/>
  <sheetViews>
    <sheetView topLeftCell="A156" workbookViewId="0">
      <selection activeCell="H167" sqref="H167"/>
    </sheetView>
  </sheetViews>
  <sheetFormatPr defaultRowHeight="14.4" x14ac:dyDescent="0.3"/>
  <cols>
    <col min="1" max="1" width="10.5546875" style="2" bestFit="1" customWidth="1"/>
    <col min="2" max="2" width="10.5546875" style="2" customWidth="1"/>
    <col min="3" max="3" width="17.77734375" style="2" bestFit="1" customWidth="1"/>
    <col min="4" max="4" width="10.33203125" style="2" bestFit="1" customWidth="1"/>
    <col min="5" max="5" width="10.33203125" style="11" bestFit="1" customWidth="1"/>
  </cols>
  <sheetData>
    <row r="1" spans="1:5" ht="15.6" x14ac:dyDescent="0.3">
      <c r="A1" s="115" t="s">
        <v>49</v>
      </c>
      <c r="B1" s="115"/>
      <c r="C1" s="115"/>
      <c r="D1" s="115"/>
      <c r="E1" s="115"/>
    </row>
    <row r="2" spans="1:5" x14ac:dyDescent="0.3">
      <c r="A2" s="4" t="s">
        <v>0</v>
      </c>
      <c r="B2" s="4" t="s">
        <v>60</v>
      </c>
      <c r="C2" s="4" t="s">
        <v>58</v>
      </c>
      <c r="D2" s="4" t="s">
        <v>84</v>
      </c>
      <c r="E2" s="5" t="s">
        <v>85</v>
      </c>
    </row>
    <row r="3" spans="1:5" x14ac:dyDescent="0.3">
      <c r="A3" s="32">
        <v>46023</v>
      </c>
      <c r="B3" s="32" t="str">
        <f t="shared" ref="B3:B66" si="0">TEXT(A3,"MMMM")</f>
        <v>janeiro</v>
      </c>
      <c r="C3" s="2" t="s">
        <v>9</v>
      </c>
      <c r="D3" s="9">
        <v>2000</v>
      </c>
      <c r="E3" s="11">
        <v>2000</v>
      </c>
    </row>
    <row r="4" spans="1:5" x14ac:dyDescent="0.3">
      <c r="A4" s="32">
        <v>46023</v>
      </c>
      <c r="B4" s="32" t="str">
        <f t="shared" si="0"/>
        <v>janeiro</v>
      </c>
      <c r="C4" s="2" t="s">
        <v>194</v>
      </c>
      <c r="D4" s="9">
        <v>136.56</v>
      </c>
      <c r="E4" s="11">
        <v>136.56</v>
      </c>
    </row>
    <row r="5" spans="1:5" x14ac:dyDescent="0.3">
      <c r="A5" s="32">
        <v>46023</v>
      </c>
      <c r="B5" s="32" t="str">
        <f t="shared" si="0"/>
        <v>janeiro</v>
      </c>
      <c r="C5" s="2" t="s">
        <v>155</v>
      </c>
      <c r="D5" s="9">
        <v>86.31</v>
      </c>
      <c r="E5" s="11">
        <v>86.31</v>
      </c>
    </row>
    <row r="6" spans="1:5" x14ac:dyDescent="0.3">
      <c r="A6" s="32">
        <v>46023</v>
      </c>
      <c r="B6" s="32" t="str">
        <f t="shared" si="0"/>
        <v>janeiro</v>
      </c>
      <c r="C6" s="2" t="s">
        <v>50</v>
      </c>
      <c r="D6" s="9">
        <v>1000</v>
      </c>
      <c r="E6" s="11">
        <v>1000</v>
      </c>
    </row>
    <row r="7" spans="1:5" x14ac:dyDescent="0.3">
      <c r="A7" s="32">
        <v>46027</v>
      </c>
      <c r="B7" s="32" t="str">
        <f t="shared" si="0"/>
        <v>janeiro</v>
      </c>
      <c r="C7" s="2" t="s">
        <v>51</v>
      </c>
      <c r="D7" s="9">
        <v>1580</v>
      </c>
      <c r="E7" s="11">
        <v>1580</v>
      </c>
    </row>
    <row r="8" spans="1:5" x14ac:dyDescent="0.3">
      <c r="A8" s="32">
        <v>46027</v>
      </c>
      <c r="B8" s="32" t="str">
        <f t="shared" si="0"/>
        <v>janeiro</v>
      </c>
      <c r="C8" s="2" t="s">
        <v>52</v>
      </c>
      <c r="D8" s="9">
        <v>350</v>
      </c>
    </row>
    <row r="9" spans="1:5" x14ac:dyDescent="0.3">
      <c r="A9" s="32">
        <v>46027</v>
      </c>
      <c r="B9" s="2" t="str">
        <f t="shared" si="0"/>
        <v>janeiro</v>
      </c>
      <c r="C9" s="2" t="s">
        <v>244</v>
      </c>
      <c r="D9" s="3">
        <v>400</v>
      </c>
      <c r="E9" s="3">
        <v>400</v>
      </c>
    </row>
    <row r="10" spans="1:5" x14ac:dyDescent="0.3">
      <c r="A10" s="32">
        <v>46052</v>
      </c>
      <c r="B10" s="2" t="str">
        <f t="shared" si="0"/>
        <v>janeiro</v>
      </c>
      <c r="C10" s="2" t="s">
        <v>245</v>
      </c>
      <c r="D10" s="3">
        <v>2000</v>
      </c>
      <c r="E10" s="3">
        <v>2000</v>
      </c>
    </row>
    <row r="11" spans="1:5" x14ac:dyDescent="0.3">
      <c r="A11" s="32">
        <v>46032</v>
      </c>
      <c r="B11" s="32" t="str">
        <f t="shared" si="0"/>
        <v>janeiro</v>
      </c>
      <c r="C11" s="2" t="s">
        <v>53</v>
      </c>
      <c r="D11" s="9">
        <v>300</v>
      </c>
      <c r="E11" s="3">
        <v>251.55</v>
      </c>
    </row>
    <row r="12" spans="1:5" x14ac:dyDescent="0.3">
      <c r="A12" s="32">
        <v>46032</v>
      </c>
      <c r="B12" s="32" t="str">
        <f t="shared" si="0"/>
        <v>janeiro</v>
      </c>
      <c r="C12" s="2" t="s">
        <v>54</v>
      </c>
      <c r="D12" s="9">
        <v>153.26</v>
      </c>
      <c r="E12" s="11">
        <v>153.26</v>
      </c>
    </row>
    <row r="13" spans="1:5" x14ac:dyDescent="0.3">
      <c r="A13" s="32">
        <v>46032</v>
      </c>
      <c r="B13" s="32" t="str">
        <f t="shared" si="0"/>
        <v>janeiro</v>
      </c>
      <c r="C13" s="2" t="s">
        <v>253</v>
      </c>
      <c r="D13" s="9">
        <v>941.6</v>
      </c>
      <c r="E13" s="95">
        <v>941.6</v>
      </c>
    </row>
    <row r="14" spans="1:5" x14ac:dyDescent="0.3">
      <c r="A14" s="32">
        <v>46037</v>
      </c>
      <c r="B14" s="2" t="str">
        <f t="shared" si="0"/>
        <v>janeiro</v>
      </c>
      <c r="C14" s="2" t="s">
        <v>195</v>
      </c>
      <c r="D14" s="9">
        <v>644.28</v>
      </c>
      <c r="E14" s="3">
        <v>400</v>
      </c>
    </row>
    <row r="15" spans="1:5" x14ac:dyDescent="0.3">
      <c r="A15" s="32">
        <v>46042</v>
      </c>
      <c r="B15" s="32" t="str">
        <f t="shared" si="0"/>
        <v>janeiro</v>
      </c>
      <c r="C15" s="2" t="s">
        <v>18</v>
      </c>
      <c r="D15" s="3">
        <v>1000</v>
      </c>
      <c r="E15" s="54">
        <f>JANEIRO!C96</f>
        <v>1691.83</v>
      </c>
    </row>
    <row r="16" spans="1:5" x14ac:dyDescent="0.3">
      <c r="A16" s="32">
        <v>46052</v>
      </c>
      <c r="B16" s="32" t="str">
        <f t="shared" si="0"/>
        <v>janeiro</v>
      </c>
      <c r="C16" s="2" t="s">
        <v>57</v>
      </c>
      <c r="D16" s="3">
        <v>485.76</v>
      </c>
      <c r="E16" s="11">
        <v>485.76</v>
      </c>
    </row>
    <row r="17" spans="1:5" x14ac:dyDescent="0.3">
      <c r="A17" s="32">
        <v>46054</v>
      </c>
      <c r="B17" s="32" t="str">
        <f t="shared" si="0"/>
        <v>fevereiro</v>
      </c>
      <c r="C17" s="2" t="s">
        <v>9</v>
      </c>
      <c r="D17" s="9">
        <v>2000</v>
      </c>
      <c r="E17" s="11">
        <v>2000</v>
      </c>
    </row>
    <row r="18" spans="1:5" x14ac:dyDescent="0.3">
      <c r="A18" s="32">
        <v>46054</v>
      </c>
      <c r="B18" s="32" t="str">
        <f t="shared" si="0"/>
        <v>fevereiro</v>
      </c>
      <c r="C18" s="2" t="s">
        <v>194</v>
      </c>
      <c r="D18" s="9">
        <v>136.56</v>
      </c>
      <c r="E18" s="11">
        <v>136.56</v>
      </c>
    </row>
    <row r="19" spans="1:5" x14ac:dyDescent="0.3">
      <c r="A19" s="32">
        <v>46054</v>
      </c>
      <c r="B19" s="32" t="str">
        <f t="shared" si="0"/>
        <v>fevereiro</v>
      </c>
      <c r="C19" s="2" t="s">
        <v>155</v>
      </c>
      <c r="D19" s="9">
        <v>86.31</v>
      </c>
      <c r="E19" s="11">
        <v>86.31</v>
      </c>
    </row>
    <row r="20" spans="1:5" x14ac:dyDescent="0.3">
      <c r="A20" s="32">
        <v>46054</v>
      </c>
      <c r="B20" s="32" t="str">
        <f t="shared" si="0"/>
        <v>fevereiro</v>
      </c>
      <c r="C20" s="2" t="s">
        <v>50</v>
      </c>
      <c r="D20" s="9">
        <v>1000</v>
      </c>
      <c r="E20" s="11">
        <v>1000</v>
      </c>
    </row>
    <row r="21" spans="1:5" x14ac:dyDescent="0.3">
      <c r="A21" s="32">
        <v>46058</v>
      </c>
      <c r="B21" s="32" t="str">
        <f t="shared" si="0"/>
        <v>fevereiro</v>
      </c>
      <c r="C21" s="2" t="s">
        <v>51</v>
      </c>
      <c r="D21" s="9">
        <v>1580</v>
      </c>
      <c r="E21" s="11">
        <v>1580</v>
      </c>
    </row>
    <row r="22" spans="1:5" x14ac:dyDescent="0.3">
      <c r="A22" s="32">
        <v>46058</v>
      </c>
      <c r="B22" s="32" t="str">
        <f t="shared" si="0"/>
        <v>fevereiro</v>
      </c>
      <c r="C22" s="2" t="s">
        <v>52</v>
      </c>
      <c r="D22" s="9">
        <v>350</v>
      </c>
    </row>
    <row r="23" spans="1:5" x14ac:dyDescent="0.3">
      <c r="A23" s="32">
        <v>46058</v>
      </c>
      <c r="B23" s="2" t="str">
        <f t="shared" si="0"/>
        <v>fevereiro</v>
      </c>
      <c r="C23" s="2" t="s">
        <v>244</v>
      </c>
      <c r="D23" s="3">
        <v>400</v>
      </c>
      <c r="E23" s="3">
        <v>400</v>
      </c>
    </row>
    <row r="24" spans="1:5" x14ac:dyDescent="0.3">
      <c r="A24" s="32">
        <v>46081</v>
      </c>
      <c r="B24" s="2" t="str">
        <f t="shared" si="0"/>
        <v>fevereiro</v>
      </c>
      <c r="C24" s="2" t="s">
        <v>245</v>
      </c>
      <c r="D24" s="3">
        <v>3000</v>
      </c>
      <c r="E24" s="11">
        <v>3000</v>
      </c>
    </row>
    <row r="25" spans="1:5" x14ac:dyDescent="0.3">
      <c r="A25" s="32">
        <v>46063</v>
      </c>
      <c r="B25" s="32" t="str">
        <f t="shared" si="0"/>
        <v>fevereiro</v>
      </c>
      <c r="C25" s="2" t="s">
        <v>53</v>
      </c>
      <c r="D25" s="9">
        <v>300</v>
      </c>
      <c r="E25" s="11">
        <v>223.23</v>
      </c>
    </row>
    <row r="26" spans="1:5" x14ac:dyDescent="0.3">
      <c r="A26" s="32">
        <v>46063</v>
      </c>
      <c r="B26" s="32" t="str">
        <f t="shared" si="0"/>
        <v>fevereiro</v>
      </c>
      <c r="C26" s="2" t="s">
        <v>54</v>
      </c>
      <c r="D26" s="9">
        <v>153.26</v>
      </c>
      <c r="E26" s="11">
        <v>153.26</v>
      </c>
    </row>
    <row r="27" spans="1:5" x14ac:dyDescent="0.3">
      <c r="A27" s="32">
        <v>46063</v>
      </c>
      <c r="B27" s="32" t="str">
        <f t="shared" si="0"/>
        <v>fevereiro</v>
      </c>
      <c r="C27" s="2" t="s">
        <v>253</v>
      </c>
      <c r="D27" s="9">
        <v>941.6</v>
      </c>
      <c r="E27" s="95">
        <v>941.6</v>
      </c>
    </row>
    <row r="28" spans="1:5" x14ac:dyDescent="0.3">
      <c r="A28" s="32">
        <v>46068</v>
      </c>
      <c r="B28" s="2" t="str">
        <f t="shared" si="0"/>
        <v>fevereiro</v>
      </c>
      <c r="C28" s="2" t="s">
        <v>195</v>
      </c>
      <c r="D28" s="9">
        <v>644.28</v>
      </c>
      <c r="E28" s="11">
        <v>644.28</v>
      </c>
    </row>
    <row r="29" spans="1:5" x14ac:dyDescent="0.3">
      <c r="A29" s="32">
        <v>46073</v>
      </c>
      <c r="B29" s="32" t="str">
        <f t="shared" si="0"/>
        <v>fevereiro</v>
      </c>
      <c r="C29" s="2" t="s">
        <v>18</v>
      </c>
      <c r="D29" s="3">
        <v>1000</v>
      </c>
      <c r="E29" s="54">
        <f>FEVEREIRO!C100</f>
        <v>0</v>
      </c>
    </row>
    <row r="30" spans="1:5" x14ac:dyDescent="0.3">
      <c r="A30" s="32">
        <v>46081</v>
      </c>
      <c r="B30" s="32" t="str">
        <f t="shared" si="0"/>
        <v>fevereiro</v>
      </c>
      <c r="C30" s="2" t="s">
        <v>57</v>
      </c>
      <c r="D30" s="2">
        <v>485.76</v>
      </c>
      <c r="E30" s="11">
        <v>496.26</v>
      </c>
    </row>
    <row r="31" spans="1:5" x14ac:dyDescent="0.3">
      <c r="A31" s="32">
        <v>46082</v>
      </c>
      <c r="B31" s="32" t="str">
        <f t="shared" si="0"/>
        <v>março</v>
      </c>
      <c r="C31" s="2" t="s">
        <v>9</v>
      </c>
      <c r="D31" s="9">
        <v>2000</v>
      </c>
      <c r="E31" s="11">
        <v>2000</v>
      </c>
    </row>
    <row r="32" spans="1:5" x14ac:dyDescent="0.3">
      <c r="A32" s="32">
        <v>46082</v>
      </c>
      <c r="B32" s="32" t="str">
        <f t="shared" si="0"/>
        <v>março</v>
      </c>
      <c r="C32" s="2" t="s">
        <v>194</v>
      </c>
      <c r="D32" s="9">
        <v>136.56</v>
      </c>
      <c r="E32" s="11">
        <v>136.56</v>
      </c>
    </row>
    <row r="33" spans="1:5" x14ac:dyDescent="0.3">
      <c r="A33" s="32">
        <v>46082</v>
      </c>
      <c r="B33" s="32" t="str">
        <f t="shared" si="0"/>
        <v>março</v>
      </c>
      <c r="C33" s="2" t="s">
        <v>155</v>
      </c>
      <c r="D33" s="9">
        <v>86.31</v>
      </c>
      <c r="E33" s="11">
        <v>86.31</v>
      </c>
    </row>
    <row r="34" spans="1:5" x14ac:dyDescent="0.3">
      <c r="A34" s="32">
        <v>46082</v>
      </c>
      <c r="B34" s="32" t="str">
        <f t="shared" si="0"/>
        <v>março</v>
      </c>
      <c r="C34" s="2" t="s">
        <v>50</v>
      </c>
      <c r="D34" s="9">
        <v>1000</v>
      </c>
      <c r="E34" s="11">
        <v>1000</v>
      </c>
    </row>
    <row r="35" spans="1:5" x14ac:dyDescent="0.3">
      <c r="A35" s="32">
        <v>46086</v>
      </c>
      <c r="B35" s="32" t="str">
        <f t="shared" si="0"/>
        <v>março</v>
      </c>
      <c r="C35" s="2" t="s">
        <v>52</v>
      </c>
      <c r="D35" s="9">
        <v>350</v>
      </c>
    </row>
    <row r="36" spans="1:5" x14ac:dyDescent="0.3">
      <c r="A36" s="32">
        <v>46086</v>
      </c>
      <c r="B36" s="32" t="str">
        <f t="shared" si="0"/>
        <v>março</v>
      </c>
      <c r="C36" s="2" t="s">
        <v>51</v>
      </c>
      <c r="D36" s="9">
        <v>1580</v>
      </c>
      <c r="E36" s="11">
        <v>1580</v>
      </c>
    </row>
    <row r="37" spans="1:5" x14ac:dyDescent="0.3">
      <c r="A37" s="32">
        <v>46086</v>
      </c>
      <c r="B37" s="2" t="str">
        <f t="shared" si="0"/>
        <v>março</v>
      </c>
      <c r="C37" s="2" t="s">
        <v>244</v>
      </c>
      <c r="D37" s="3">
        <v>400</v>
      </c>
      <c r="E37" s="3">
        <v>400</v>
      </c>
    </row>
    <row r="38" spans="1:5" x14ac:dyDescent="0.3">
      <c r="A38" s="32">
        <v>46111</v>
      </c>
      <c r="B38" s="2" t="str">
        <f t="shared" si="0"/>
        <v>março</v>
      </c>
      <c r="C38" s="2" t="s">
        <v>245</v>
      </c>
      <c r="D38" s="3">
        <v>3000</v>
      </c>
      <c r="E38" s="3">
        <v>3000</v>
      </c>
    </row>
    <row r="39" spans="1:5" x14ac:dyDescent="0.3">
      <c r="A39" s="32">
        <v>46091</v>
      </c>
      <c r="B39" s="32" t="str">
        <f t="shared" si="0"/>
        <v>março</v>
      </c>
      <c r="C39" s="2" t="s">
        <v>53</v>
      </c>
      <c r="D39" s="9">
        <v>300</v>
      </c>
      <c r="E39" s="11">
        <v>186.16</v>
      </c>
    </row>
    <row r="40" spans="1:5" x14ac:dyDescent="0.3">
      <c r="A40" s="32">
        <v>46091</v>
      </c>
      <c r="B40" s="32" t="str">
        <f t="shared" si="0"/>
        <v>março</v>
      </c>
      <c r="C40" s="2" t="s">
        <v>54</v>
      </c>
      <c r="D40" s="9">
        <v>153.26</v>
      </c>
      <c r="E40" s="11">
        <v>153.26</v>
      </c>
    </row>
    <row r="41" spans="1:5" x14ac:dyDescent="0.3">
      <c r="A41" s="32">
        <v>46091</v>
      </c>
      <c r="B41" s="32" t="str">
        <f t="shared" si="0"/>
        <v>março</v>
      </c>
      <c r="C41" s="2" t="s">
        <v>253</v>
      </c>
      <c r="D41" s="9">
        <v>941.6</v>
      </c>
      <c r="E41" s="11">
        <v>941.6</v>
      </c>
    </row>
    <row r="42" spans="1:5" x14ac:dyDescent="0.3">
      <c r="A42" s="32">
        <v>46096</v>
      </c>
      <c r="B42" s="2" t="str">
        <f t="shared" si="0"/>
        <v>março</v>
      </c>
      <c r="C42" s="2" t="s">
        <v>195</v>
      </c>
      <c r="D42" s="9">
        <v>644.28</v>
      </c>
      <c r="E42" s="11">
        <v>644.28</v>
      </c>
    </row>
    <row r="43" spans="1:5" x14ac:dyDescent="0.3">
      <c r="A43" s="32">
        <v>46101</v>
      </c>
      <c r="B43" s="32" t="str">
        <f t="shared" si="0"/>
        <v>março</v>
      </c>
      <c r="C43" s="2" t="s">
        <v>56</v>
      </c>
      <c r="D43" s="11">
        <v>310.24</v>
      </c>
      <c r="E43" s="11">
        <v>310.24</v>
      </c>
    </row>
    <row r="44" spans="1:5" x14ac:dyDescent="0.3">
      <c r="A44" s="32">
        <v>46101</v>
      </c>
      <c r="B44" s="32" t="str">
        <f t="shared" si="0"/>
        <v>março</v>
      </c>
      <c r="C44" s="2" t="s">
        <v>18</v>
      </c>
      <c r="D44" s="3">
        <v>1000</v>
      </c>
      <c r="E44" s="11">
        <f>MARÇO!C98</f>
        <v>1448</v>
      </c>
    </row>
    <row r="45" spans="1:5" x14ac:dyDescent="0.3">
      <c r="A45" s="32">
        <v>46111</v>
      </c>
      <c r="B45" s="32" t="str">
        <f t="shared" si="0"/>
        <v>março</v>
      </c>
      <c r="C45" s="2" t="s">
        <v>57</v>
      </c>
      <c r="D45" s="3">
        <v>485.76</v>
      </c>
    </row>
    <row r="46" spans="1:5" x14ac:dyDescent="0.3">
      <c r="A46" s="32">
        <v>46113</v>
      </c>
      <c r="B46" s="32" t="str">
        <f t="shared" si="0"/>
        <v>abril</v>
      </c>
      <c r="C46" s="2" t="s">
        <v>9</v>
      </c>
      <c r="D46" s="9">
        <v>2000</v>
      </c>
      <c r="E46" s="11">
        <v>2000</v>
      </c>
    </row>
    <row r="47" spans="1:5" x14ac:dyDescent="0.3">
      <c r="A47" s="32">
        <v>46113</v>
      </c>
      <c r="B47" s="32" t="str">
        <f t="shared" si="0"/>
        <v>abril</v>
      </c>
      <c r="C47" s="2" t="s">
        <v>194</v>
      </c>
      <c r="D47" s="9">
        <v>136.56</v>
      </c>
      <c r="E47" s="11">
        <v>136.56</v>
      </c>
    </row>
    <row r="48" spans="1:5" x14ac:dyDescent="0.3">
      <c r="A48" s="32">
        <v>46113</v>
      </c>
      <c r="B48" s="32" t="str">
        <f t="shared" si="0"/>
        <v>abril</v>
      </c>
      <c r="C48" s="2" t="s">
        <v>155</v>
      </c>
      <c r="D48" s="9">
        <v>86.31</v>
      </c>
      <c r="E48" s="11">
        <v>86.31</v>
      </c>
    </row>
    <row r="49" spans="1:5" x14ac:dyDescent="0.3">
      <c r="A49" s="32">
        <v>46113</v>
      </c>
      <c r="B49" s="32" t="str">
        <f t="shared" si="0"/>
        <v>abril</v>
      </c>
      <c r="C49" s="2" t="s">
        <v>50</v>
      </c>
      <c r="D49" s="9">
        <v>1000</v>
      </c>
      <c r="E49" s="11">
        <v>1000</v>
      </c>
    </row>
    <row r="50" spans="1:5" x14ac:dyDescent="0.3">
      <c r="A50" s="32">
        <v>46117</v>
      </c>
      <c r="B50" s="32" t="str">
        <f t="shared" si="0"/>
        <v>abril</v>
      </c>
      <c r="C50" s="2" t="s">
        <v>52</v>
      </c>
      <c r="D50" s="9">
        <v>350</v>
      </c>
      <c r="E50" s="11">
        <v>425.38</v>
      </c>
    </row>
    <row r="51" spans="1:5" x14ac:dyDescent="0.3">
      <c r="A51" s="32">
        <v>46117</v>
      </c>
      <c r="B51" s="32" t="str">
        <f t="shared" si="0"/>
        <v>abril</v>
      </c>
      <c r="C51" s="2" t="s">
        <v>51</v>
      </c>
      <c r="D51" s="9">
        <v>1580</v>
      </c>
      <c r="E51" s="11">
        <v>1580</v>
      </c>
    </row>
    <row r="52" spans="1:5" x14ac:dyDescent="0.3">
      <c r="A52" s="32">
        <v>46117</v>
      </c>
      <c r="B52" s="2" t="str">
        <f t="shared" si="0"/>
        <v>abril</v>
      </c>
      <c r="C52" s="2" t="s">
        <v>244</v>
      </c>
      <c r="D52" s="3">
        <v>400</v>
      </c>
      <c r="E52" s="3">
        <v>400</v>
      </c>
    </row>
    <row r="53" spans="1:5" x14ac:dyDescent="0.3">
      <c r="A53" s="32">
        <v>46142</v>
      </c>
      <c r="B53" s="2" t="str">
        <f t="shared" si="0"/>
        <v>abril</v>
      </c>
      <c r="C53" s="2" t="s">
        <v>245</v>
      </c>
      <c r="D53" s="3">
        <v>3000</v>
      </c>
      <c r="E53" s="11">
        <v>3000</v>
      </c>
    </row>
    <row r="54" spans="1:5" x14ac:dyDescent="0.3">
      <c r="A54" s="32">
        <v>46122</v>
      </c>
      <c r="B54" s="32" t="str">
        <f t="shared" si="0"/>
        <v>abril</v>
      </c>
      <c r="C54" s="2" t="s">
        <v>53</v>
      </c>
      <c r="D54" s="9">
        <v>300</v>
      </c>
      <c r="E54" s="11">
        <f>ABRIL!C69</f>
        <v>181.06</v>
      </c>
    </row>
    <row r="55" spans="1:5" x14ac:dyDescent="0.3">
      <c r="A55" s="32">
        <v>46122</v>
      </c>
      <c r="B55" s="32" t="str">
        <f t="shared" si="0"/>
        <v>abril</v>
      </c>
      <c r="C55" s="2" t="s">
        <v>54</v>
      </c>
      <c r="D55" s="9">
        <v>153.26</v>
      </c>
      <c r="E55" s="11">
        <v>153.26</v>
      </c>
    </row>
    <row r="56" spans="1:5" x14ac:dyDescent="0.3">
      <c r="A56" s="32">
        <v>46122</v>
      </c>
      <c r="B56" s="32" t="str">
        <f t="shared" si="0"/>
        <v>abril</v>
      </c>
      <c r="C56" s="2" t="s">
        <v>253</v>
      </c>
      <c r="D56" s="9">
        <v>941.6</v>
      </c>
      <c r="E56" s="11">
        <v>941.6</v>
      </c>
    </row>
    <row r="57" spans="1:5" x14ac:dyDescent="0.3">
      <c r="A57" s="32">
        <v>46127</v>
      </c>
      <c r="B57" s="2" t="str">
        <f t="shared" si="0"/>
        <v>abril</v>
      </c>
      <c r="C57" s="2" t="s">
        <v>195</v>
      </c>
      <c r="D57" s="9">
        <v>644.28</v>
      </c>
      <c r="E57" s="11">
        <v>644.28</v>
      </c>
    </row>
    <row r="58" spans="1:5" x14ac:dyDescent="0.3">
      <c r="A58" s="32">
        <v>46132</v>
      </c>
      <c r="B58" s="32" t="str">
        <f t="shared" si="0"/>
        <v>abril</v>
      </c>
      <c r="C58" s="2" t="s">
        <v>56</v>
      </c>
      <c r="D58" s="11">
        <v>310.24</v>
      </c>
      <c r="E58" s="11">
        <v>313.37</v>
      </c>
    </row>
    <row r="59" spans="1:5" x14ac:dyDescent="0.3">
      <c r="A59" s="32">
        <v>46132</v>
      </c>
      <c r="B59" s="32" t="str">
        <f t="shared" si="0"/>
        <v>abril</v>
      </c>
      <c r="C59" s="2" t="s">
        <v>18</v>
      </c>
      <c r="D59" s="3">
        <v>1000</v>
      </c>
      <c r="E59" s="11">
        <f>ABRIL!C74</f>
        <v>2947.28</v>
      </c>
    </row>
    <row r="60" spans="1:5" x14ac:dyDescent="0.3">
      <c r="A60" s="32">
        <v>46142</v>
      </c>
      <c r="B60" s="32" t="str">
        <f t="shared" si="0"/>
        <v>abril</v>
      </c>
      <c r="C60" s="2" t="s">
        <v>57</v>
      </c>
      <c r="D60" s="3">
        <v>485.76</v>
      </c>
      <c r="E60" s="11">
        <v>506.99</v>
      </c>
    </row>
    <row r="61" spans="1:5" x14ac:dyDescent="0.3">
      <c r="A61" s="32">
        <v>46142</v>
      </c>
      <c r="B61" s="2" t="str">
        <f t="shared" si="0"/>
        <v>abril</v>
      </c>
      <c r="C61" s="2" t="s">
        <v>225</v>
      </c>
      <c r="D61" s="3">
        <v>100</v>
      </c>
      <c r="E61" s="11">
        <v>100</v>
      </c>
    </row>
    <row r="62" spans="1:5" x14ac:dyDescent="0.3">
      <c r="A62" s="32">
        <v>46143</v>
      </c>
      <c r="B62" s="32" t="str">
        <f t="shared" si="0"/>
        <v>maio</v>
      </c>
      <c r="C62" s="2" t="s">
        <v>9</v>
      </c>
      <c r="D62" s="9">
        <v>2000</v>
      </c>
      <c r="E62" s="11">
        <v>2000</v>
      </c>
    </row>
    <row r="63" spans="1:5" x14ac:dyDescent="0.3">
      <c r="A63" s="32">
        <v>46143</v>
      </c>
      <c r="B63" s="32" t="str">
        <f t="shared" si="0"/>
        <v>maio</v>
      </c>
      <c r="C63" s="2" t="s">
        <v>194</v>
      </c>
      <c r="D63" s="9">
        <v>136.56</v>
      </c>
      <c r="E63" s="11">
        <v>136.56</v>
      </c>
    </row>
    <row r="64" spans="1:5" x14ac:dyDescent="0.3">
      <c r="A64" s="32">
        <v>46143</v>
      </c>
      <c r="B64" s="32" t="str">
        <f t="shared" si="0"/>
        <v>maio</v>
      </c>
      <c r="C64" s="2" t="s">
        <v>155</v>
      </c>
      <c r="D64" s="9">
        <v>86.31</v>
      </c>
      <c r="E64" s="11">
        <v>86.31</v>
      </c>
    </row>
    <row r="65" spans="1:5" x14ac:dyDescent="0.3">
      <c r="A65" s="32">
        <v>46143</v>
      </c>
      <c r="B65" s="32" t="str">
        <f t="shared" si="0"/>
        <v>maio</v>
      </c>
      <c r="C65" s="2" t="s">
        <v>50</v>
      </c>
      <c r="D65" s="9">
        <v>1000</v>
      </c>
      <c r="E65" s="11">
        <v>1000</v>
      </c>
    </row>
    <row r="66" spans="1:5" x14ac:dyDescent="0.3">
      <c r="A66" s="32">
        <v>46147</v>
      </c>
      <c r="B66" s="32" t="str">
        <f t="shared" si="0"/>
        <v>maio</v>
      </c>
      <c r="C66" s="2" t="s">
        <v>52</v>
      </c>
      <c r="D66" s="9">
        <v>350</v>
      </c>
    </row>
    <row r="67" spans="1:5" x14ac:dyDescent="0.3">
      <c r="A67" s="32">
        <v>46147</v>
      </c>
      <c r="B67" s="32" t="str">
        <f t="shared" ref="B67:B130" si="1">TEXT(A67,"MMMM")</f>
        <v>maio</v>
      </c>
      <c r="C67" s="2" t="s">
        <v>51</v>
      </c>
      <c r="D67" s="9">
        <v>1580</v>
      </c>
      <c r="E67" s="11">
        <v>1580</v>
      </c>
    </row>
    <row r="68" spans="1:5" x14ac:dyDescent="0.3">
      <c r="A68" s="32">
        <v>46147</v>
      </c>
      <c r="B68" s="2" t="str">
        <f t="shared" si="1"/>
        <v>maio</v>
      </c>
      <c r="C68" s="2" t="s">
        <v>244</v>
      </c>
      <c r="D68" s="3">
        <v>400</v>
      </c>
      <c r="E68" s="3">
        <v>400</v>
      </c>
    </row>
    <row r="69" spans="1:5" x14ac:dyDescent="0.3">
      <c r="A69" s="32">
        <v>46172</v>
      </c>
      <c r="B69" s="2" t="str">
        <f t="shared" si="1"/>
        <v>maio</v>
      </c>
      <c r="C69" s="2" t="s">
        <v>245</v>
      </c>
      <c r="D69" s="3">
        <v>3000</v>
      </c>
      <c r="E69" s="11">
        <v>3000</v>
      </c>
    </row>
    <row r="70" spans="1:5" x14ac:dyDescent="0.3">
      <c r="A70" s="32">
        <v>46152</v>
      </c>
      <c r="B70" s="32" t="str">
        <f t="shared" si="1"/>
        <v>maio</v>
      </c>
      <c r="C70" s="2" t="s">
        <v>53</v>
      </c>
      <c r="D70" s="9">
        <v>300</v>
      </c>
      <c r="E70" s="11">
        <f>MAIO!C78</f>
        <v>173.82</v>
      </c>
    </row>
    <row r="71" spans="1:5" x14ac:dyDescent="0.3">
      <c r="A71" s="32">
        <v>46152</v>
      </c>
      <c r="B71" s="32" t="str">
        <f t="shared" si="1"/>
        <v>maio</v>
      </c>
      <c r="C71" s="2" t="s">
        <v>54</v>
      </c>
      <c r="D71" s="9">
        <v>153.26</v>
      </c>
      <c r="E71" s="11">
        <v>153.26</v>
      </c>
    </row>
    <row r="72" spans="1:5" x14ac:dyDescent="0.3">
      <c r="A72" s="32">
        <v>46152</v>
      </c>
      <c r="B72" s="32" t="str">
        <f t="shared" si="1"/>
        <v>maio</v>
      </c>
      <c r="C72" s="2" t="s">
        <v>253</v>
      </c>
      <c r="D72" s="9">
        <v>941.6</v>
      </c>
      <c r="E72" s="11">
        <v>941.6</v>
      </c>
    </row>
    <row r="73" spans="1:5" x14ac:dyDescent="0.3">
      <c r="A73" s="32">
        <v>46157</v>
      </c>
      <c r="B73" s="2" t="str">
        <f t="shared" si="1"/>
        <v>maio</v>
      </c>
      <c r="C73" s="2" t="s">
        <v>195</v>
      </c>
      <c r="D73" s="9">
        <v>644.28</v>
      </c>
      <c r="E73" s="11">
        <v>644.28</v>
      </c>
    </row>
    <row r="74" spans="1:5" x14ac:dyDescent="0.3">
      <c r="A74" s="32">
        <v>46162</v>
      </c>
      <c r="B74" s="32" t="str">
        <f t="shared" si="1"/>
        <v>maio</v>
      </c>
      <c r="C74" s="2" t="s">
        <v>56</v>
      </c>
      <c r="D74" s="11">
        <v>310.24</v>
      </c>
    </row>
    <row r="75" spans="1:5" x14ac:dyDescent="0.3">
      <c r="A75" s="32">
        <v>46162</v>
      </c>
      <c r="B75" s="32" t="str">
        <f t="shared" si="1"/>
        <v>maio</v>
      </c>
      <c r="C75" s="2" t="s">
        <v>18</v>
      </c>
      <c r="D75" s="3">
        <v>1000</v>
      </c>
      <c r="E75" s="11">
        <f>MAIO!C84</f>
        <v>432.96</v>
      </c>
    </row>
    <row r="76" spans="1:5" x14ac:dyDescent="0.3">
      <c r="A76" s="32">
        <v>46172</v>
      </c>
      <c r="B76" s="32" t="str">
        <f t="shared" si="1"/>
        <v>maio</v>
      </c>
      <c r="C76" s="2" t="s">
        <v>57</v>
      </c>
      <c r="D76" s="3">
        <v>485.76</v>
      </c>
      <c r="E76" s="11">
        <v>512.29</v>
      </c>
    </row>
    <row r="77" spans="1:5" x14ac:dyDescent="0.3">
      <c r="A77" s="32">
        <v>46172</v>
      </c>
      <c r="B77" s="2" t="str">
        <f t="shared" si="1"/>
        <v>maio</v>
      </c>
      <c r="C77" s="2" t="s">
        <v>225</v>
      </c>
      <c r="D77" s="3">
        <v>100</v>
      </c>
    </row>
    <row r="78" spans="1:5" x14ac:dyDescent="0.3">
      <c r="A78" s="32">
        <v>46174</v>
      </c>
      <c r="B78" s="32" t="str">
        <f t="shared" si="1"/>
        <v>junho</v>
      </c>
      <c r="C78" s="2" t="s">
        <v>9</v>
      </c>
      <c r="D78" s="9">
        <v>2000</v>
      </c>
      <c r="E78" s="11">
        <v>2000</v>
      </c>
    </row>
    <row r="79" spans="1:5" x14ac:dyDescent="0.3">
      <c r="A79" s="32">
        <v>46174</v>
      </c>
      <c r="B79" s="32" t="str">
        <f t="shared" si="1"/>
        <v>junho</v>
      </c>
      <c r="C79" s="2" t="s">
        <v>194</v>
      </c>
      <c r="D79" s="9">
        <v>136.56</v>
      </c>
      <c r="E79" s="11">
        <v>136.56</v>
      </c>
    </row>
    <row r="80" spans="1:5" x14ac:dyDescent="0.3">
      <c r="A80" s="32">
        <v>46174</v>
      </c>
      <c r="B80" s="32" t="str">
        <f t="shared" si="1"/>
        <v>junho</v>
      </c>
      <c r="C80" s="2" t="s">
        <v>155</v>
      </c>
      <c r="D80" s="9">
        <v>86.31</v>
      </c>
      <c r="E80" s="11">
        <v>86.31</v>
      </c>
    </row>
    <row r="81" spans="1:5" x14ac:dyDescent="0.3">
      <c r="A81" s="32">
        <v>46174</v>
      </c>
      <c r="B81" s="32" t="str">
        <f t="shared" si="1"/>
        <v>junho</v>
      </c>
      <c r="C81" s="2" t="s">
        <v>50</v>
      </c>
      <c r="D81" s="9">
        <v>1000</v>
      </c>
    </row>
    <row r="82" spans="1:5" x14ac:dyDescent="0.3">
      <c r="A82" s="32">
        <v>46178</v>
      </c>
      <c r="B82" s="32" t="str">
        <f t="shared" si="1"/>
        <v>junho</v>
      </c>
      <c r="C82" s="2" t="s">
        <v>52</v>
      </c>
      <c r="D82" s="9">
        <v>350</v>
      </c>
    </row>
    <row r="83" spans="1:5" x14ac:dyDescent="0.3">
      <c r="A83" s="32">
        <v>46178</v>
      </c>
      <c r="B83" s="32" t="str">
        <f t="shared" si="1"/>
        <v>junho</v>
      </c>
      <c r="C83" s="2" t="s">
        <v>51</v>
      </c>
      <c r="D83" s="9">
        <v>1580</v>
      </c>
      <c r="E83" s="11">
        <v>1580</v>
      </c>
    </row>
    <row r="84" spans="1:5" x14ac:dyDescent="0.3">
      <c r="A84" s="32">
        <v>46178</v>
      </c>
      <c r="B84" s="2" t="str">
        <f t="shared" si="1"/>
        <v>junho</v>
      </c>
      <c r="C84" s="2" t="s">
        <v>244</v>
      </c>
      <c r="D84" s="3">
        <v>400</v>
      </c>
      <c r="E84" s="11">
        <v>500</v>
      </c>
    </row>
    <row r="85" spans="1:5" x14ac:dyDescent="0.3">
      <c r="A85" s="32">
        <v>46203</v>
      </c>
      <c r="B85" s="2" t="str">
        <f t="shared" si="1"/>
        <v>junho</v>
      </c>
      <c r="C85" s="2" t="s">
        <v>245</v>
      </c>
      <c r="D85" s="3">
        <v>3000</v>
      </c>
    </row>
    <row r="86" spans="1:5" x14ac:dyDescent="0.3">
      <c r="A86" s="32">
        <v>46183</v>
      </c>
      <c r="B86" s="32" t="str">
        <f t="shared" si="1"/>
        <v>junho</v>
      </c>
      <c r="C86" s="2" t="s">
        <v>53</v>
      </c>
      <c r="D86" s="9">
        <v>300</v>
      </c>
      <c r="E86" s="11">
        <f>JUNHO!C71</f>
        <v>136.75</v>
      </c>
    </row>
    <row r="87" spans="1:5" x14ac:dyDescent="0.3">
      <c r="A87" s="32">
        <v>46183</v>
      </c>
      <c r="B87" s="32" t="str">
        <f t="shared" si="1"/>
        <v>junho</v>
      </c>
      <c r="C87" s="2" t="s">
        <v>54</v>
      </c>
      <c r="D87" s="9">
        <v>153.26</v>
      </c>
      <c r="E87" s="11">
        <v>153.26</v>
      </c>
    </row>
    <row r="88" spans="1:5" x14ac:dyDescent="0.3">
      <c r="A88" s="32">
        <v>46183</v>
      </c>
      <c r="B88" s="32" t="str">
        <f t="shared" si="1"/>
        <v>junho</v>
      </c>
      <c r="C88" s="2" t="s">
        <v>253</v>
      </c>
      <c r="D88" s="9">
        <v>941.6</v>
      </c>
    </row>
    <row r="89" spans="1:5" x14ac:dyDescent="0.3">
      <c r="A89" s="32">
        <v>46188</v>
      </c>
      <c r="B89" s="2" t="str">
        <f t="shared" si="1"/>
        <v>junho</v>
      </c>
      <c r="C89" s="2" t="s">
        <v>195</v>
      </c>
      <c r="D89" s="9">
        <v>644.28</v>
      </c>
    </row>
    <row r="90" spans="1:5" x14ac:dyDescent="0.3">
      <c r="A90" s="32">
        <v>46193</v>
      </c>
      <c r="B90" s="32" t="str">
        <f t="shared" si="1"/>
        <v>junho</v>
      </c>
      <c r="C90" s="2" t="s">
        <v>56</v>
      </c>
      <c r="D90" s="11">
        <v>310.24</v>
      </c>
    </row>
    <row r="91" spans="1:5" x14ac:dyDescent="0.3">
      <c r="A91" s="32">
        <v>46193</v>
      </c>
      <c r="B91" s="32" t="str">
        <f t="shared" si="1"/>
        <v>junho</v>
      </c>
      <c r="C91" s="2" t="s">
        <v>18</v>
      </c>
      <c r="D91" s="3">
        <v>1000</v>
      </c>
    </row>
    <row r="92" spans="1:5" x14ac:dyDescent="0.3">
      <c r="A92" s="32">
        <v>46203</v>
      </c>
      <c r="B92" s="32" t="str">
        <f t="shared" si="1"/>
        <v>junho</v>
      </c>
      <c r="C92" s="2" t="s">
        <v>57</v>
      </c>
      <c r="D92" s="3">
        <v>485.76</v>
      </c>
    </row>
    <row r="93" spans="1:5" x14ac:dyDescent="0.3">
      <c r="A93" s="32">
        <v>46203</v>
      </c>
      <c r="B93" s="2" t="str">
        <f t="shared" si="1"/>
        <v>junho</v>
      </c>
      <c r="C93" s="2" t="s">
        <v>225</v>
      </c>
      <c r="D93" s="3">
        <v>100</v>
      </c>
    </row>
    <row r="94" spans="1:5" x14ac:dyDescent="0.3">
      <c r="A94" s="32">
        <v>46204</v>
      </c>
      <c r="B94" s="32" t="str">
        <f t="shared" si="1"/>
        <v>julho</v>
      </c>
      <c r="C94" s="2" t="s">
        <v>9</v>
      </c>
      <c r="D94" s="9">
        <v>2000</v>
      </c>
    </row>
    <row r="95" spans="1:5" x14ac:dyDescent="0.3">
      <c r="A95" s="32">
        <v>46204</v>
      </c>
      <c r="B95" s="32" t="str">
        <f t="shared" si="1"/>
        <v>julho</v>
      </c>
      <c r="C95" s="2" t="s">
        <v>194</v>
      </c>
      <c r="D95" s="9">
        <v>136.56</v>
      </c>
    </row>
    <row r="96" spans="1:5" x14ac:dyDescent="0.3">
      <c r="A96" s="32">
        <v>46204</v>
      </c>
      <c r="B96" s="32" t="str">
        <f t="shared" si="1"/>
        <v>julho</v>
      </c>
      <c r="C96" s="2" t="s">
        <v>155</v>
      </c>
      <c r="D96" s="9">
        <v>86.31</v>
      </c>
    </row>
    <row r="97" spans="1:4" x14ac:dyDescent="0.3">
      <c r="A97" s="32">
        <v>46204</v>
      </c>
      <c r="B97" s="32" t="str">
        <f t="shared" si="1"/>
        <v>julho</v>
      </c>
      <c r="C97" s="2" t="s">
        <v>50</v>
      </c>
      <c r="D97" s="9">
        <v>1000</v>
      </c>
    </row>
    <row r="98" spans="1:4" x14ac:dyDescent="0.3">
      <c r="A98" s="32">
        <v>46208</v>
      </c>
      <c r="B98" s="32" t="str">
        <f t="shared" si="1"/>
        <v>julho</v>
      </c>
      <c r="C98" s="2" t="s">
        <v>52</v>
      </c>
      <c r="D98" s="9">
        <v>350</v>
      </c>
    </row>
    <row r="99" spans="1:4" x14ac:dyDescent="0.3">
      <c r="A99" s="32">
        <v>46208</v>
      </c>
      <c r="B99" s="32" t="str">
        <f t="shared" si="1"/>
        <v>julho</v>
      </c>
      <c r="C99" s="2" t="s">
        <v>51</v>
      </c>
      <c r="D99" s="9">
        <v>1580</v>
      </c>
    </row>
    <row r="100" spans="1:4" x14ac:dyDescent="0.3">
      <c r="A100" s="32">
        <v>46208</v>
      </c>
      <c r="B100" s="2" t="str">
        <f t="shared" si="1"/>
        <v>julho</v>
      </c>
      <c r="C100" s="2" t="s">
        <v>244</v>
      </c>
      <c r="D100" s="3">
        <v>400</v>
      </c>
    </row>
    <row r="101" spans="1:4" x14ac:dyDescent="0.3">
      <c r="A101" s="32">
        <v>46233</v>
      </c>
      <c r="B101" s="2" t="str">
        <f t="shared" si="1"/>
        <v>julho</v>
      </c>
      <c r="C101" s="2" t="s">
        <v>245</v>
      </c>
      <c r="D101" s="3">
        <v>3000</v>
      </c>
    </row>
    <row r="102" spans="1:4" x14ac:dyDescent="0.3">
      <c r="A102" s="32">
        <v>46213</v>
      </c>
      <c r="B102" s="32" t="str">
        <f t="shared" si="1"/>
        <v>julho</v>
      </c>
      <c r="C102" s="2" t="s">
        <v>53</v>
      </c>
      <c r="D102" s="9">
        <v>300</v>
      </c>
    </row>
    <row r="103" spans="1:4" x14ac:dyDescent="0.3">
      <c r="A103" s="32">
        <v>46213</v>
      </c>
      <c r="B103" s="32" t="str">
        <f t="shared" si="1"/>
        <v>julho</v>
      </c>
      <c r="C103" s="2" t="s">
        <v>54</v>
      </c>
      <c r="D103" s="9">
        <v>153.26</v>
      </c>
    </row>
    <row r="104" spans="1:4" x14ac:dyDescent="0.3">
      <c r="A104" s="32">
        <v>46213</v>
      </c>
      <c r="B104" s="32" t="str">
        <f t="shared" si="1"/>
        <v>julho</v>
      </c>
      <c r="C104" s="2" t="s">
        <v>253</v>
      </c>
      <c r="D104" s="9">
        <v>941.6</v>
      </c>
    </row>
    <row r="105" spans="1:4" x14ac:dyDescent="0.3">
      <c r="A105" s="32">
        <v>46218</v>
      </c>
      <c r="B105" s="2" t="str">
        <f t="shared" si="1"/>
        <v>julho</v>
      </c>
      <c r="C105" s="2" t="s">
        <v>195</v>
      </c>
      <c r="D105" s="9">
        <v>644.28</v>
      </c>
    </row>
    <row r="106" spans="1:4" x14ac:dyDescent="0.3">
      <c r="A106" s="32">
        <v>46223</v>
      </c>
      <c r="B106" s="32" t="str">
        <f t="shared" si="1"/>
        <v>julho</v>
      </c>
      <c r="C106" s="2" t="s">
        <v>56</v>
      </c>
      <c r="D106" s="11">
        <v>310.24</v>
      </c>
    </row>
    <row r="107" spans="1:4" x14ac:dyDescent="0.3">
      <c r="A107" s="32">
        <v>46223</v>
      </c>
      <c r="B107" s="32" t="str">
        <f t="shared" si="1"/>
        <v>julho</v>
      </c>
      <c r="C107" s="2" t="s">
        <v>18</v>
      </c>
      <c r="D107" s="3">
        <v>1000</v>
      </c>
    </row>
    <row r="108" spans="1:4" x14ac:dyDescent="0.3">
      <c r="A108" s="32">
        <v>46233</v>
      </c>
      <c r="B108" s="32" t="str">
        <f t="shared" si="1"/>
        <v>julho</v>
      </c>
      <c r="C108" s="2" t="s">
        <v>57</v>
      </c>
      <c r="D108" s="3">
        <v>485.76</v>
      </c>
    </row>
    <row r="109" spans="1:4" x14ac:dyDescent="0.3">
      <c r="A109" s="32">
        <v>46233</v>
      </c>
      <c r="B109" s="2" t="str">
        <f t="shared" si="1"/>
        <v>julho</v>
      </c>
      <c r="C109" s="2" t="s">
        <v>225</v>
      </c>
      <c r="D109" s="3">
        <v>100</v>
      </c>
    </row>
    <row r="110" spans="1:4" x14ac:dyDescent="0.3">
      <c r="A110" s="32">
        <v>46235</v>
      </c>
      <c r="B110" s="32" t="str">
        <f t="shared" si="1"/>
        <v>agosto</v>
      </c>
      <c r="C110" s="2" t="s">
        <v>9</v>
      </c>
      <c r="D110" s="9">
        <v>2000</v>
      </c>
    </row>
    <row r="111" spans="1:4" x14ac:dyDescent="0.3">
      <c r="A111" s="32">
        <v>46235</v>
      </c>
      <c r="B111" s="32" t="str">
        <f t="shared" si="1"/>
        <v>agosto</v>
      </c>
      <c r="C111" s="2" t="s">
        <v>194</v>
      </c>
      <c r="D111" s="9">
        <v>136.56</v>
      </c>
    </row>
    <row r="112" spans="1:4" x14ac:dyDescent="0.3">
      <c r="A112" s="32">
        <v>46235</v>
      </c>
      <c r="B112" s="32" t="str">
        <f t="shared" si="1"/>
        <v>agosto</v>
      </c>
      <c r="C112" s="2" t="s">
        <v>155</v>
      </c>
      <c r="D112" s="9">
        <v>86.31</v>
      </c>
    </row>
    <row r="113" spans="1:4" x14ac:dyDescent="0.3">
      <c r="A113" s="32">
        <v>46235</v>
      </c>
      <c r="B113" s="32" t="str">
        <f t="shared" si="1"/>
        <v>agosto</v>
      </c>
      <c r="C113" s="2" t="s">
        <v>50</v>
      </c>
      <c r="D113" s="9">
        <v>1000</v>
      </c>
    </row>
    <row r="114" spans="1:4" x14ac:dyDescent="0.3">
      <c r="A114" s="32">
        <v>46239</v>
      </c>
      <c r="B114" s="32" t="str">
        <f t="shared" si="1"/>
        <v>agosto</v>
      </c>
      <c r="C114" s="2" t="s">
        <v>52</v>
      </c>
      <c r="D114" s="9">
        <v>350</v>
      </c>
    </row>
    <row r="115" spans="1:4" x14ac:dyDescent="0.3">
      <c r="A115" s="32">
        <v>46239</v>
      </c>
      <c r="B115" s="32" t="str">
        <f t="shared" si="1"/>
        <v>agosto</v>
      </c>
      <c r="C115" s="2" t="s">
        <v>51</v>
      </c>
      <c r="D115" s="9">
        <v>1580</v>
      </c>
    </row>
    <row r="116" spans="1:4" x14ac:dyDescent="0.3">
      <c r="A116" s="32">
        <v>46239</v>
      </c>
      <c r="B116" s="2" t="str">
        <f t="shared" si="1"/>
        <v>agosto</v>
      </c>
      <c r="C116" s="2" t="s">
        <v>244</v>
      </c>
      <c r="D116" s="3">
        <v>400</v>
      </c>
    </row>
    <row r="117" spans="1:4" x14ac:dyDescent="0.3">
      <c r="A117" s="32">
        <v>46264</v>
      </c>
      <c r="B117" s="2" t="str">
        <f t="shared" si="1"/>
        <v>agosto</v>
      </c>
      <c r="C117" s="2" t="s">
        <v>245</v>
      </c>
      <c r="D117" s="3">
        <v>3000</v>
      </c>
    </row>
    <row r="118" spans="1:4" x14ac:dyDescent="0.3">
      <c r="A118" s="32">
        <v>46244</v>
      </c>
      <c r="B118" s="32" t="str">
        <f t="shared" si="1"/>
        <v>agosto</v>
      </c>
      <c r="C118" s="2" t="s">
        <v>53</v>
      </c>
      <c r="D118" s="9">
        <v>300</v>
      </c>
    </row>
    <row r="119" spans="1:4" x14ac:dyDescent="0.3">
      <c r="A119" s="32">
        <v>46244</v>
      </c>
      <c r="B119" s="32" t="str">
        <f t="shared" si="1"/>
        <v>agosto</v>
      </c>
      <c r="C119" s="2" t="s">
        <v>54</v>
      </c>
      <c r="D119" s="9">
        <v>153.26</v>
      </c>
    </row>
    <row r="120" spans="1:4" x14ac:dyDescent="0.3">
      <c r="A120" s="32">
        <v>46244</v>
      </c>
      <c r="B120" s="32" t="str">
        <f t="shared" si="1"/>
        <v>agosto</v>
      </c>
      <c r="C120" s="2" t="s">
        <v>253</v>
      </c>
      <c r="D120" s="9">
        <v>941.6</v>
      </c>
    </row>
    <row r="121" spans="1:4" x14ac:dyDescent="0.3">
      <c r="A121" s="32">
        <v>46249</v>
      </c>
      <c r="B121" s="2" t="str">
        <f t="shared" si="1"/>
        <v>agosto</v>
      </c>
      <c r="C121" s="2" t="s">
        <v>195</v>
      </c>
      <c r="D121" s="9">
        <v>644.28</v>
      </c>
    </row>
    <row r="122" spans="1:4" x14ac:dyDescent="0.3">
      <c r="A122" s="32">
        <v>46254</v>
      </c>
      <c r="B122" s="32" t="str">
        <f t="shared" si="1"/>
        <v>agosto</v>
      </c>
      <c r="C122" s="2" t="s">
        <v>56</v>
      </c>
      <c r="D122" s="11">
        <v>310.24</v>
      </c>
    </row>
    <row r="123" spans="1:4" x14ac:dyDescent="0.3">
      <c r="A123" s="32">
        <v>46254</v>
      </c>
      <c r="B123" s="32" t="str">
        <f t="shared" si="1"/>
        <v>agosto</v>
      </c>
      <c r="C123" s="2" t="s">
        <v>18</v>
      </c>
      <c r="D123" s="3">
        <v>1000</v>
      </c>
    </row>
    <row r="124" spans="1:4" x14ac:dyDescent="0.3">
      <c r="A124" s="32">
        <v>46264</v>
      </c>
      <c r="B124" s="32" t="str">
        <f t="shared" si="1"/>
        <v>agosto</v>
      </c>
      <c r="C124" s="2" t="s">
        <v>57</v>
      </c>
      <c r="D124" s="3">
        <v>485.76</v>
      </c>
    </row>
    <row r="125" spans="1:4" x14ac:dyDescent="0.3">
      <c r="A125" s="32">
        <v>46264</v>
      </c>
      <c r="B125" s="2" t="str">
        <f t="shared" si="1"/>
        <v>agosto</v>
      </c>
      <c r="C125" s="2" t="s">
        <v>225</v>
      </c>
      <c r="D125" s="3">
        <v>100</v>
      </c>
    </row>
    <row r="126" spans="1:4" x14ac:dyDescent="0.3">
      <c r="A126" s="32">
        <v>46266</v>
      </c>
      <c r="B126" s="32" t="str">
        <f t="shared" si="1"/>
        <v>setembro</v>
      </c>
      <c r="C126" s="2" t="s">
        <v>9</v>
      </c>
      <c r="D126" s="9">
        <v>2000</v>
      </c>
    </row>
    <row r="127" spans="1:4" x14ac:dyDescent="0.3">
      <c r="A127" s="32">
        <v>46266</v>
      </c>
      <c r="B127" s="32" t="str">
        <f t="shared" si="1"/>
        <v>setembro</v>
      </c>
      <c r="C127" s="2" t="s">
        <v>194</v>
      </c>
      <c r="D127" s="9">
        <v>136.56</v>
      </c>
    </row>
    <row r="128" spans="1:4" x14ac:dyDescent="0.3">
      <c r="A128" s="32">
        <v>46266</v>
      </c>
      <c r="B128" s="32" t="str">
        <f t="shared" si="1"/>
        <v>setembro</v>
      </c>
      <c r="C128" s="2" t="s">
        <v>155</v>
      </c>
      <c r="D128" s="9">
        <v>86.31</v>
      </c>
    </row>
    <row r="129" spans="1:4" x14ac:dyDescent="0.3">
      <c r="A129" s="32">
        <v>46266</v>
      </c>
      <c r="B129" s="32" t="str">
        <f t="shared" si="1"/>
        <v>setembro</v>
      </c>
      <c r="C129" s="2" t="s">
        <v>50</v>
      </c>
      <c r="D129" s="9">
        <v>1000</v>
      </c>
    </row>
    <row r="130" spans="1:4" x14ac:dyDescent="0.3">
      <c r="A130" s="32">
        <v>46270</v>
      </c>
      <c r="B130" s="32" t="str">
        <f t="shared" si="1"/>
        <v>setembro</v>
      </c>
      <c r="C130" s="2" t="s">
        <v>52</v>
      </c>
      <c r="D130" s="9">
        <v>350</v>
      </c>
    </row>
    <row r="131" spans="1:4" x14ac:dyDescent="0.3">
      <c r="A131" s="32">
        <v>46270</v>
      </c>
      <c r="B131" s="32" t="str">
        <f t="shared" ref="B131:B194" si="2">TEXT(A131,"MMMM")</f>
        <v>setembro</v>
      </c>
      <c r="C131" s="2" t="s">
        <v>51</v>
      </c>
      <c r="D131" s="9">
        <v>1580</v>
      </c>
    </row>
    <row r="132" spans="1:4" x14ac:dyDescent="0.3">
      <c r="A132" s="32">
        <v>46270</v>
      </c>
      <c r="B132" s="2" t="str">
        <f t="shared" si="2"/>
        <v>setembro</v>
      </c>
      <c r="C132" s="2" t="s">
        <v>244</v>
      </c>
      <c r="D132" s="3">
        <v>400</v>
      </c>
    </row>
    <row r="133" spans="1:4" x14ac:dyDescent="0.3">
      <c r="A133" s="32">
        <v>46295</v>
      </c>
      <c r="B133" s="2" t="str">
        <f t="shared" si="2"/>
        <v>setembro</v>
      </c>
      <c r="C133" s="2" t="s">
        <v>245</v>
      </c>
      <c r="D133" s="3">
        <v>3000</v>
      </c>
    </row>
    <row r="134" spans="1:4" x14ac:dyDescent="0.3">
      <c r="A134" s="32">
        <v>46275</v>
      </c>
      <c r="B134" s="32" t="str">
        <f t="shared" si="2"/>
        <v>setembro</v>
      </c>
      <c r="C134" s="2" t="s">
        <v>53</v>
      </c>
      <c r="D134" s="9">
        <v>300</v>
      </c>
    </row>
    <row r="135" spans="1:4" x14ac:dyDescent="0.3">
      <c r="A135" s="32">
        <v>46275</v>
      </c>
      <c r="B135" s="32" t="str">
        <f t="shared" si="2"/>
        <v>setembro</v>
      </c>
      <c r="C135" s="2" t="s">
        <v>54</v>
      </c>
      <c r="D135" s="9">
        <v>153.26</v>
      </c>
    </row>
    <row r="136" spans="1:4" x14ac:dyDescent="0.3">
      <c r="A136" s="32">
        <v>46275</v>
      </c>
      <c r="B136" s="32" t="str">
        <f t="shared" si="2"/>
        <v>setembro</v>
      </c>
      <c r="C136" s="2" t="s">
        <v>253</v>
      </c>
      <c r="D136" s="9">
        <v>941.6</v>
      </c>
    </row>
    <row r="137" spans="1:4" x14ac:dyDescent="0.3">
      <c r="A137" s="32">
        <v>46280</v>
      </c>
      <c r="B137" s="2" t="str">
        <f t="shared" si="2"/>
        <v>setembro</v>
      </c>
      <c r="C137" s="2" t="s">
        <v>195</v>
      </c>
      <c r="D137" s="9">
        <v>644.28</v>
      </c>
    </row>
    <row r="138" spans="1:4" x14ac:dyDescent="0.3">
      <c r="A138" s="32">
        <v>46285</v>
      </c>
      <c r="B138" s="32" t="str">
        <f t="shared" si="2"/>
        <v>setembro</v>
      </c>
      <c r="C138" s="2" t="s">
        <v>56</v>
      </c>
      <c r="D138" s="11">
        <v>310.24</v>
      </c>
    </row>
    <row r="139" spans="1:4" x14ac:dyDescent="0.3">
      <c r="A139" s="32">
        <v>46285</v>
      </c>
      <c r="B139" s="32" t="str">
        <f t="shared" si="2"/>
        <v>setembro</v>
      </c>
      <c r="C139" s="2" t="s">
        <v>18</v>
      </c>
      <c r="D139" s="3">
        <v>1000</v>
      </c>
    </row>
    <row r="140" spans="1:4" x14ac:dyDescent="0.3">
      <c r="A140" s="32">
        <v>46295</v>
      </c>
      <c r="B140" s="32" t="str">
        <f t="shared" si="2"/>
        <v>setembro</v>
      </c>
      <c r="C140" s="2" t="s">
        <v>57</v>
      </c>
      <c r="D140" s="3">
        <v>485.76</v>
      </c>
    </row>
    <row r="141" spans="1:4" x14ac:dyDescent="0.3">
      <c r="A141" s="32">
        <v>46295</v>
      </c>
      <c r="B141" s="2" t="str">
        <f t="shared" si="2"/>
        <v>setembro</v>
      </c>
      <c r="C141" s="2" t="s">
        <v>225</v>
      </c>
      <c r="D141" s="3">
        <v>100</v>
      </c>
    </row>
    <row r="142" spans="1:4" x14ac:dyDescent="0.3">
      <c r="A142" s="32">
        <v>46296</v>
      </c>
      <c r="B142" s="32" t="str">
        <f t="shared" si="2"/>
        <v>outubro</v>
      </c>
      <c r="C142" s="2" t="s">
        <v>9</v>
      </c>
      <c r="D142" s="9">
        <v>2000</v>
      </c>
    </row>
    <row r="143" spans="1:4" x14ac:dyDescent="0.3">
      <c r="A143" s="32">
        <v>46296</v>
      </c>
      <c r="B143" s="32" t="str">
        <f t="shared" si="2"/>
        <v>outubro</v>
      </c>
      <c r="C143" s="2" t="s">
        <v>194</v>
      </c>
      <c r="D143" s="9">
        <v>136.56</v>
      </c>
    </row>
    <row r="144" spans="1:4" x14ac:dyDescent="0.3">
      <c r="A144" s="32">
        <v>46296</v>
      </c>
      <c r="B144" s="32" t="str">
        <f t="shared" si="2"/>
        <v>outubro</v>
      </c>
      <c r="C144" s="2" t="s">
        <v>155</v>
      </c>
      <c r="D144" s="9">
        <v>86.31</v>
      </c>
    </row>
    <row r="145" spans="1:4" x14ac:dyDescent="0.3">
      <c r="A145" s="32">
        <v>46296</v>
      </c>
      <c r="B145" s="32" t="str">
        <f t="shared" si="2"/>
        <v>outubro</v>
      </c>
      <c r="C145" s="2" t="s">
        <v>50</v>
      </c>
      <c r="D145" s="9">
        <v>1000</v>
      </c>
    </row>
    <row r="146" spans="1:4" x14ac:dyDescent="0.3">
      <c r="A146" s="32">
        <v>46300</v>
      </c>
      <c r="B146" s="32" t="str">
        <f t="shared" si="2"/>
        <v>outubro</v>
      </c>
      <c r="C146" s="2" t="s">
        <v>52</v>
      </c>
      <c r="D146" s="9">
        <v>350</v>
      </c>
    </row>
    <row r="147" spans="1:4" x14ac:dyDescent="0.3">
      <c r="A147" s="32">
        <v>46300</v>
      </c>
      <c r="B147" s="32" t="str">
        <f t="shared" si="2"/>
        <v>outubro</v>
      </c>
      <c r="C147" s="2" t="s">
        <v>51</v>
      </c>
      <c r="D147" s="9">
        <v>1580</v>
      </c>
    </row>
    <row r="148" spans="1:4" x14ac:dyDescent="0.3">
      <c r="A148" s="32">
        <v>46300</v>
      </c>
      <c r="B148" s="2" t="str">
        <f t="shared" si="2"/>
        <v>outubro</v>
      </c>
      <c r="C148" s="2" t="s">
        <v>244</v>
      </c>
      <c r="D148" s="3">
        <v>400</v>
      </c>
    </row>
    <row r="149" spans="1:4" x14ac:dyDescent="0.3">
      <c r="A149" s="32">
        <v>46325</v>
      </c>
      <c r="B149" s="2" t="str">
        <f t="shared" si="2"/>
        <v>outubro</v>
      </c>
      <c r="C149" s="2" t="s">
        <v>245</v>
      </c>
      <c r="D149" s="3">
        <v>3000</v>
      </c>
    </row>
    <row r="150" spans="1:4" x14ac:dyDescent="0.3">
      <c r="A150" s="32">
        <v>46305</v>
      </c>
      <c r="B150" s="32" t="str">
        <f t="shared" si="2"/>
        <v>outubro</v>
      </c>
      <c r="C150" s="2" t="s">
        <v>53</v>
      </c>
      <c r="D150" s="9">
        <v>300</v>
      </c>
    </row>
    <row r="151" spans="1:4" x14ac:dyDescent="0.3">
      <c r="A151" s="32">
        <v>46305</v>
      </c>
      <c r="B151" s="32" t="str">
        <f t="shared" si="2"/>
        <v>outubro</v>
      </c>
      <c r="C151" s="2" t="s">
        <v>54</v>
      </c>
      <c r="D151" s="9">
        <v>153.26</v>
      </c>
    </row>
    <row r="152" spans="1:4" x14ac:dyDescent="0.3">
      <c r="A152" s="32">
        <v>46305</v>
      </c>
      <c r="B152" s="32" t="str">
        <f t="shared" si="2"/>
        <v>outubro</v>
      </c>
      <c r="C152" s="2" t="s">
        <v>253</v>
      </c>
      <c r="D152" s="9">
        <v>941.6</v>
      </c>
    </row>
    <row r="153" spans="1:4" x14ac:dyDescent="0.3">
      <c r="A153" s="32">
        <v>46310</v>
      </c>
      <c r="B153" s="2" t="str">
        <f t="shared" si="2"/>
        <v>outubro</v>
      </c>
      <c r="C153" s="2" t="s">
        <v>195</v>
      </c>
      <c r="D153" s="9">
        <v>644.28</v>
      </c>
    </row>
    <row r="154" spans="1:4" x14ac:dyDescent="0.3">
      <c r="A154" s="32">
        <v>46315</v>
      </c>
      <c r="B154" s="32" t="str">
        <f t="shared" si="2"/>
        <v>outubro</v>
      </c>
      <c r="C154" s="2" t="s">
        <v>56</v>
      </c>
      <c r="D154" s="11">
        <v>310.24</v>
      </c>
    </row>
    <row r="155" spans="1:4" x14ac:dyDescent="0.3">
      <c r="A155" s="32">
        <v>46315</v>
      </c>
      <c r="B155" s="32" t="str">
        <f t="shared" si="2"/>
        <v>outubro</v>
      </c>
      <c r="C155" s="2" t="s">
        <v>18</v>
      </c>
      <c r="D155" s="3">
        <v>1000</v>
      </c>
    </row>
    <row r="156" spans="1:4" x14ac:dyDescent="0.3">
      <c r="A156" s="32">
        <v>46325</v>
      </c>
      <c r="B156" s="32" t="str">
        <f t="shared" si="2"/>
        <v>outubro</v>
      </c>
      <c r="C156" s="2" t="s">
        <v>57</v>
      </c>
      <c r="D156" s="3">
        <v>485.76</v>
      </c>
    </row>
    <row r="157" spans="1:4" x14ac:dyDescent="0.3">
      <c r="A157" s="32">
        <v>46325</v>
      </c>
      <c r="B157" s="2" t="str">
        <f t="shared" si="2"/>
        <v>outubro</v>
      </c>
      <c r="C157" s="2" t="s">
        <v>225</v>
      </c>
      <c r="D157" s="3">
        <v>100</v>
      </c>
    </row>
    <row r="158" spans="1:4" x14ac:dyDescent="0.3">
      <c r="A158" s="32">
        <v>46327</v>
      </c>
      <c r="B158" s="32" t="str">
        <f t="shared" si="2"/>
        <v>novembro</v>
      </c>
      <c r="C158" s="2" t="s">
        <v>9</v>
      </c>
      <c r="D158" s="9">
        <v>2000</v>
      </c>
    </row>
    <row r="159" spans="1:4" x14ac:dyDescent="0.3">
      <c r="A159" s="32">
        <v>46327</v>
      </c>
      <c r="B159" s="32" t="str">
        <f t="shared" si="2"/>
        <v>novembro</v>
      </c>
      <c r="C159" s="2" t="s">
        <v>194</v>
      </c>
      <c r="D159" s="9">
        <v>136.56</v>
      </c>
    </row>
    <row r="160" spans="1:4" x14ac:dyDescent="0.3">
      <c r="A160" s="32">
        <v>46327</v>
      </c>
      <c r="B160" s="32" t="str">
        <f t="shared" si="2"/>
        <v>novembro</v>
      </c>
      <c r="C160" s="2" t="s">
        <v>155</v>
      </c>
      <c r="D160" s="9">
        <v>86.31</v>
      </c>
    </row>
    <row r="161" spans="1:4" x14ac:dyDescent="0.3">
      <c r="A161" s="32">
        <v>46327</v>
      </c>
      <c r="B161" s="32" t="str">
        <f t="shared" si="2"/>
        <v>novembro</v>
      </c>
      <c r="C161" s="2" t="s">
        <v>50</v>
      </c>
      <c r="D161" s="9">
        <v>1000</v>
      </c>
    </row>
    <row r="162" spans="1:4" x14ac:dyDescent="0.3">
      <c r="A162" s="32">
        <v>46331</v>
      </c>
      <c r="B162" s="32" t="str">
        <f t="shared" si="2"/>
        <v>novembro</v>
      </c>
      <c r="C162" s="2" t="s">
        <v>52</v>
      </c>
      <c r="D162" s="9">
        <v>350</v>
      </c>
    </row>
    <row r="163" spans="1:4" x14ac:dyDescent="0.3">
      <c r="A163" s="32">
        <v>46331</v>
      </c>
      <c r="B163" s="32" t="str">
        <f t="shared" si="2"/>
        <v>novembro</v>
      </c>
      <c r="C163" s="2" t="s">
        <v>51</v>
      </c>
      <c r="D163" s="9">
        <v>1580</v>
      </c>
    </row>
    <row r="164" spans="1:4" x14ac:dyDescent="0.3">
      <c r="A164" s="32">
        <v>46331</v>
      </c>
      <c r="B164" s="2" t="str">
        <f t="shared" si="2"/>
        <v>novembro</v>
      </c>
      <c r="C164" s="2" t="s">
        <v>244</v>
      </c>
      <c r="D164" s="3">
        <v>400</v>
      </c>
    </row>
    <row r="165" spans="1:4" x14ac:dyDescent="0.3">
      <c r="A165" s="32">
        <v>46356</v>
      </c>
      <c r="B165" s="2" t="str">
        <f t="shared" si="2"/>
        <v>novembro</v>
      </c>
      <c r="C165" s="2" t="s">
        <v>245</v>
      </c>
      <c r="D165" s="3">
        <v>3000</v>
      </c>
    </row>
    <row r="166" spans="1:4" x14ac:dyDescent="0.3">
      <c r="A166" s="32">
        <v>46336</v>
      </c>
      <c r="B166" s="32" t="str">
        <f t="shared" si="2"/>
        <v>novembro</v>
      </c>
      <c r="C166" s="2" t="s">
        <v>53</v>
      </c>
      <c r="D166" s="9">
        <v>300</v>
      </c>
    </row>
    <row r="167" spans="1:4" x14ac:dyDescent="0.3">
      <c r="A167" s="32">
        <v>46336</v>
      </c>
      <c r="B167" s="32" t="str">
        <f t="shared" si="2"/>
        <v>novembro</v>
      </c>
      <c r="C167" s="2" t="s">
        <v>54</v>
      </c>
      <c r="D167" s="9">
        <v>153.26</v>
      </c>
    </row>
    <row r="168" spans="1:4" x14ac:dyDescent="0.3">
      <c r="A168" s="32">
        <v>46336</v>
      </c>
      <c r="B168" s="32" t="str">
        <f t="shared" si="2"/>
        <v>novembro</v>
      </c>
      <c r="C168" s="2" t="s">
        <v>253</v>
      </c>
      <c r="D168" s="9">
        <v>941.6</v>
      </c>
    </row>
    <row r="169" spans="1:4" x14ac:dyDescent="0.3">
      <c r="A169" s="32">
        <v>46341</v>
      </c>
      <c r="B169" s="2" t="str">
        <f t="shared" si="2"/>
        <v>novembro</v>
      </c>
      <c r="C169" s="2" t="s">
        <v>195</v>
      </c>
      <c r="D169" s="9">
        <v>644.28</v>
      </c>
    </row>
    <row r="170" spans="1:4" x14ac:dyDescent="0.3">
      <c r="A170" s="32">
        <v>46346</v>
      </c>
      <c r="B170" s="32" t="str">
        <f t="shared" si="2"/>
        <v>novembro</v>
      </c>
      <c r="C170" s="2" t="s">
        <v>56</v>
      </c>
      <c r="D170" s="11">
        <v>310.24</v>
      </c>
    </row>
    <row r="171" spans="1:4" x14ac:dyDescent="0.3">
      <c r="A171" s="32">
        <v>46346</v>
      </c>
      <c r="B171" s="32" t="str">
        <f t="shared" si="2"/>
        <v>novembro</v>
      </c>
      <c r="C171" s="2" t="s">
        <v>18</v>
      </c>
      <c r="D171" s="3">
        <v>1000</v>
      </c>
    </row>
    <row r="172" spans="1:4" x14ac:dyDescent="0.3">
      <c r="A172" s="32">
        <v>46356</v>
      </c>
      <c r="B172" s="32" t="str">
        <f t="shared" si="2"/>
        <v>novembro</v>
      </c>
      <c r="C172" s="2" t="s">
        <v>57</v>
      </c>
      <c r="D172" s="3">
        <v>485.76</v>
      </c>
    </row>
    <row r="173" spans="1:4" x14ac:dyDescent="0.3">
      <c r="A173" s="32">
        <v>46356</v>
      </c>
      <c r="B173" s="2" t="str">
        <f t="shared" si="2"/>
        <v>novembro</v>
      </c>
      <c r="C173" s="2" t="s">
        <v>225</v>
      </c>
      <c r="D173" s="3">
        <v>100</v>
      </c>
    </row>
    <row r="174" spans="1:4" x14ac:dyDescent="0.3">
      <c r="A174" s="32">
        <v>46357</v>
      </c>
      <c r="B174" s="32" t="str">
        <f t="shared" si="2"/>
        <v>dezembro</v>
      </c>
      <c r="C174" s="2" t="s">
        <v>9</v>
      </c>
      <c r="D174" s="9">
        <v>2000</v>
      </c>
    </row>
    <row r="175" spans="1:4" x14ac:dyDescent="0.3">
      <c r="A175" s="32">
        <v>46357</v>
      </c>
      <c r="B175" s="32" t="str">
        <f t="shared" si="2"/>
        <v>dezembro</v>
      </c>
      <c r="C175" s="2" t="s">
        <v>194</v>
      </c>
      <c r="D175" s="9">
        <v>136.56</v>
      </c>
    </row>
    <row r="176" spans="1:4" x14ac:dyDescent="0.3">
      <c r="A176" s="32">
        <v>46357</v>
      </c>
      <c r="B176" s="32" t="str">
        <f t="shared" si="2"/>
        <v>dezembro</v>
      </c>
      <c r="C176" s="2" t="s">
        <v>155</v>
      </c>
      <c r="D176" s="9">
        <v>86.31</v>
      </c>
    </row>
    <row r="177" spans="1:5" x14ac:dyDescent="0.3">
      <c r="A177" s="32">
        <v>46357</v>
      </c>
      <c r="B177" s="32" t="str">
        <f t="shared" si="2"/>
        <v>dezembro</v>
      </c>
      <c r="C177" s="2" t="s">
        <v>50</v>
      </c>
      <c r="D177" s="9">
        <v>1000</v>
      </c>
    </row>
    <row r="178" spans="1:5" x14ac:dyDescent="0.3">
      <c r="A178" s="32">
        <v>46361</v>
      </c>
      <c r="B178" s="32" t="str">
        <f t="shared" si="2"/>
        <v>dezembro</v>
      </c>
      <c r="C178" s="2" t="s">
        <v>52</v>
      </c>
      <c r="D178" s="9">
        <v>350</v>
      </c>
    </row>
    <row r="179" spans="1:5" x14ac:dyDescent="0.3">
      <c r="A179" s="32">
        <v>46361</v>
      </c>
      <c r="B179" s="32" t="str">
        <f t="shared" si="2"/>
        <v>dezembro</v>
      </c>
      <c r="C179" s="2" t="s">
        <v>51</v>
      </c>
      <c r="D179" s="9">
        <v>1580</v>
      </c>
    </row>
    <row r="180" spans="1:5" x14ac:dyDescent="0.3">
      <c r="A180" s="32">
        <v>46361</v>
      </c>
      <c r="B180" s="2" t="str">
        <f t="shared" si="2"/>
        <v>dezembro</v>
      </c>
      <c r="C180" s="2" t="s">
        <v>244</v>
      </c>
      <c r="D180" s="3">
        <v>400</v>
      </c>
    </row>
    <row r="181" spans="1:5" x14ac:dyDescent="0.3">
      <c r="A181" s="32">
        <v>46386</v>
      </c>
      <c r="B181" s="2" t="str">
        <f t="shared" si="2"/>
        <v>dezembro</v>
      </c>
      <c r="C181" s="2" t="s">
        <v>245</v>
      </c>
      <c r="D181" s="3">
        <v>3000</v>
      </c>
    </row>
    <row r="182" spans="1:5" x14ac:dyDescent="0.3">
      <c r="A182" s="32">
        <v>46366</v>
      </c>
      <c r="B182" s="32" t="str">
        <f t="shared" si="2"/>
        <v>dezembro</v>
      </c>
      <c r="C182" s="2" t="s">
        <v>53</v>
      </c>
      <c r="D182" s="9">
        <v>300</v>
      </c>
    </row>
    <row r="183" spans="1:5" x14ac:dyDescent="0.3">
      <c r="A183" s="32">
        <v>46366</v>
      </c>
      <c r="B183" s="32" t="str">
        <f t="shared" si="2"/>
        <v>dezembro</v>
      </c>
      <c r="C183" s="2" t="s">
        <v>54</v>
      </c>
      <c r="D183" s="9">
        <v>153.26</v>
      </c>
    </row>
    <row r="184" spans="1:5" x14ac:dyDescent="0.3">
      <c r="A184" s="32">
        <v>46366</v>
      </c>
      <c r="B184" s="32" t="str">
        <f t="shared" si="2"/>
        <v>dezembro</v>
      </c>
      <c r="C184" s="2" t="s">
        <v>253</v>
      </c>
      <c r="D184" s="9">
        <v>941.6</v>
      </c>
    </row>
    <row r="185" spans="1:5" x14ac:dyDescent="0.3">
      <c r="A185" s="32">
        <v>46371</v>
      </c>
      <c r="B185" s="2" t="str">
        <f t="shared" si="2"/>
        <v>dezembro</v>
      </c>
      <c r="C185" s="2" t="s">
        <v>195</v>
      </c>
      <c r="D185" s="9">
        <v>644.28</v>
      </c>
    </row>
    <row r="186" spans="1:5" x14ac:dyDescent="0.3">
      <c r="A186" s="32">
        <v>46376</v>
      </c>
      <c r="B186" s="32" t="str">
        <f t="shared" si="2"/>
        <v>dezembro</v>
      </c>
      <c r="C186" s="2" t="s">
        <v>56</v>
      </c>
      <c r="D186" s="11">
        <v>310.24</v>
      </c>
    </row>
    <row r="187" spans="1:5" x14ac:dyDescent="0.3">
      <c r="A187" s="32">
        <v>46376</v>
      </c>
      <c r="B187" s="32" t="str">
        <f t="shared" si="2"/>
        <v>dezembro</v>
      </c>
      <c r="C187" s="2" t="s">
        <v>18</v>
      </c>
      <c r="D187" s="3">
        <v>1000</v>
      </c>
    </row>
    <row r="188" spans="1:5" x14ac:dyDescent="0.3">
      <c r="A188" s="32">
        <v>46386</v>
      </c>
      <c r="B188" s="32" t="str">
        <f t="shared" si="2"/>
        <v>dezembro</v>
      </c>
      <c r="C188" s="2" t="s">
        <v>57</v>
      </c>
      <c r="D188" s="3">
        <v>485.76</v>
      </c>
    </row>
    <row r="189" spans="1:5" x14ac:dyDescent="0.3">
      <c r="A189" s="32">
        <v>46386</v>
      </c>
      <c r="B189" s="2" t="str">
        <f t="shared" si="2"/>
        <v>dezembro</v>
      </c>
      <c r="C189" s="2" t="s">
        <v>225</v>
      </c>
      <c r="D189" s="3">
        <v>100</v>
      </c>
    </row>
    <row r="190" spans="1:5" ht="13.8" customHeight="1" x14ac:dyDescent="0.3">
      <c r="A190" s="32">
        <v>46052</v>
      </c>
      <c r="B190" s="2" t="str">
        <f t="shared" si="2"/>
        <v>janeiro</v>
      </c>
      <c r="C190" s="2" t="s">
        <v>24</v>
      </c>
      <c r="D190" s="13">
        <f>JANEIRO!C48</f>
        <v>15600</v>
      </c>
      <c r="E190" s="11">
        <f>D190</f>
        <v>15600</v>
      </c>
    </row>
    <row r="191" spans="1:5" ht="13.8" customHeight="1" x14ac:dyDescent="0.3">
      <c r="A191" s="32">
        <v>46081</v>
      </c>
      <c r="B191" s="2" t="str">
        <f t="shared" si="2"/>
        <v>fevereiro</v>
      </c>
      <c r="C191" s="2" t="s">
        <v>24</v>
      </c>
      <c r="D191" s="13">
        <f>FEVEREIRO!C44</f>
        <v>17000</v>
      </c>
      <c r="E191" s="11">
        <f t="shared" ref="E191:E194" si="3">D191</f>
        <v>17000</v>
      </c>
    </row>
    <row r="192" spans="1:5" ht="13.8" customHeight="1" x14ac:dyDescent="0.3">
      <c r="A192" s="32">
        <v>46111</v>
      </c>
      <c r="B192" s="2" t="str">
        <f t="shared" si="2"/>
        <v>março</v>
      </c>
      <c r="C192" s="2" t="s">
        <v>24</v>
      </c>
      <c r="D192" s="13">
        <v>17000</v>
      </c>
    </row>
    <row r="193" spans="1:5" ht="13.8" customHeight="1" x14ac:dyDescent="0.3">
      <c r="A193" s="32">
        <v>46142</v>
      </c>
      <c r="B193" s="2" t="str">
        <f t="shared" si="2"/>
        <v>abril</v>
      </c>
      <c r="C193" s="2" t="s">
        <v>24</v>
      </c>
      <c r="D193" s="13">
        <v>17000</v>
      </c>
    </row>
    <row r="194" spans="1:5" ht="13.8" customHeight="1" x14ac:dyDescent="0.3">
      <c r="A194" s="32">
        <v>46172</v>
      </c>
      <c r="B194" s="2" t="str">
        <f t="shared" si="2"/>
        <v>maio</v>
      </c>
      <c r="C194" s="2" t="s">
        <v>24</v>
      </c>
      <c r="D194" s="13">
        <f>MAIO!C32</f>
        <v>8910</v>
      </c>
      <c r="E194" s="11">
        <f t="shared" si="3"/>
        <v>8910</v>
      </c>
    </row>
    <row r="195" spans="1:5" ht="13.8" customHeight="1" x14ac:dyDescent="0.3">
      <c r="A195" s="32">
        <v>46203</v>
      </c>
      <c r="B195" s="2" t="str">
        <f t="shared" ref="B195:B258" si="4">TEXT(A195,"MMMM")</f>
        <v>junho</v>
      </c>
      <c r="C195" s="2" t="s">
        <v>24</v>
      </c>
      <c r="D195" s="13">
        <v>17000</v>
      </c>
    </row>
    <row r="196" spans="1:5" x14ac:dyDescent="0.3">
      <c r="A196" s="32">
        <v>46233</v>
      </c>
      <c r="B196" s="2" t="str">
        <f t="shared" si="4"/>
        <v>julho</v>
      </c>
      <c r="C196" s="2" t="s">
        <v>24</v>
      </c>
      <c r="D196" s="13">
        <v>17000</v>
      </c>
    </row>
    <row r="197" spans="1:5" x14ac:dyDescent="0.3">
      <c r="A197" s="32">
        <v>46264</v>
      </c>
      <c r="B197" s="2" t="str">
        <f t="shared" si="4"/>
        <v>agosto</v>
      </c>
      <c r="C197" s="2" t="s">
        <v>24</v>
      </c>
      <c r="D197" s="13">
        <v>17000</v>
      </c>
    </row>
    <row r="198" spans="1:5" x14ac:dyDescent="0.3">
      <c r="A198" s="32">
        <v>46295</v>
      </c>
      <c r="B198" s="2" t="str">
        <f t="shared" si="4"/>
        <v>setembro</v>
      </c>
      <c r="C198" s="2" t="s">
        <v>24</v>
      </c>
      <c r="D198" s="13">
        <v>17000</v>
      </c>
    </row>
    <row r="199" spans="1:5" x14ac:dyDescent="0.3">
      <c r="A199" s="32">
        <v>46325</v>
      </c>
      <c r="B199" s="2" t="str">
        <f t="shared" si="4"/>
        <v>outubro</v>
      </c>
      <c r="C199" s="2" t="s">
        <v>24</v>
      </c>
      <c r="D199" s="13">
        <v>17000</v>
      </c>
    </row>
    <row r="200" spans="1:5" x14ac:dyDescent="0.3">
      <c r="A200" s="32">
        <v>46356</v>
      </c>
      <c r="B200" s="2" t="str">
        <f t="shared" si="4"/>
        <v>novembro</v>
      </c>
      <c r="C200" s="2" t="s">
        <v>24</v>
      </c>
      <c r="D200" s="13">
        <v>17000</v>
      </c>
    </row>
    <row r="201" spans="1:5" x14ac:dyDescent="0.3">
      <c r="A201" s="32">
        <v>46386</v>
      </c>
      <c r="B201" s="2" t="str">
        <f t="shared" si="4"/>
        <v>dezembro</v>
      </c>
      <c r="C201" s="2" t="s">
        <v>24</v>
      </c>
      <c r="D201" s="13">
        <v>17000</v>
      </c>
    </row>
    <row r="202" spans="1:5" x14ac:dyDescent="0.3">
      <c r="A202" s="32">
        <v>46052</v>
      </c>
      <c r="B202" s="2" t="str">
        <f t="shared" si="4"/>
        <v>janeiro</v>
      </c>
      <c r="C202" s="2" t="s">
        <v>251</v>
      </c>
      <c r="D202" s="13">
        <f>JANEIRO!C68</f>
        <v>1720</v>
      </c>
      <c r="E202" s="11">
        <f>D202</f>
        <v>1720</v>
      </c>
    </row>
    <row r="203" spans="1:5" x14ac:dyDescent="0.3">
      <c r="A203" s="32">
        <v>46081</v>
      </c>
      <c r="B203" s="2" t="str">
        <f t="shared" si="4"/>
        <v>fevereiro</v>
      </c>
      <c r="C203" s="2" t="s">
        <v>251</v>
      </c>
      <c r="D203" s="13">
        <f>FEVEREIRO!C65</f>
        <v>1870</v>
      </c>
      <c r="E203" s="11">
        <f t="shared" ref="E203:E206" si="5">D203</f>
        <v>1870</v>
      </c>
    </row>
    <row r="204" spans="1:5" x14ac:dyDescent="0.3">
      <c r="A204" s="32">
        <v>46111</v>
      </c>
      <c r="B204" s="2" t="str">
        <f t="shared" si="4"/>
        <v>março</v>
      </c>
      <c r="C204" s="2" t="s">
        <v>251</v>
      </c>
      <c r="D204" s="3">
        <v>2000</v>
      </c>
    </row>
    <row r="205" spans="1:5" x14ac:dyDescent="0.3">
      <c r="A205" s="32">
        <v>46142</v>
      </c>
      <c r="B205" s="2" t="str">
        <f t="shared" si="4"/>
        <v>abril</v>
      </c>
      <c r="C205" s="2" t="s">
        <v>251</v>
      </c>
      <c r="D205" s="3">
        <v>2000</v>
      </c>
    </row>
    <row r="206" spans="1:5" x14ac:dyDescent="0.3">
      <c r="A206" s="32">
        <v>46172</v>
      </c>
      <c r="B206" s="2" t="str">
        <f t="shared" si="4"/>
        <v>maio</v>
      </c>
      <c r="C206" s="2" t="s">
        <v>251</v>
      </c>
      <c r="D206" s="13">
        <f>MAIO!C47</f>
        <v>1265</v>
      </c>
      <c r="E206" s="11">
        <f t="shared" si="5"/>
        <v>1265</v>
      </c>
    </row>
    <row r="207" spans="1:5" x14ac:dyDescent="0.3">
      <c r="A207" s="32">
        <v>46203</v>
      </c>
      <c r="B207" s="2" t="str">
        <f t="shared" si="4"/>
        <v>junho</v>
      </c>
      <c r="C207" s="2" t="s">
        <v>251</v>
      </c>
      <c r="D207" s="3">
        <v>2000</v>
      </c>
    </row>
    <row r="208" spans="1:5" x14ac:dyDescent="0.3">
      <c r="A208" s="32">
        <v>46233</v>
      </c>
      <c r="B208" s="2" t="str">
        <f t="shared" si="4"/>
        <v>julho</v>
      </c>
      <c r="C208" s="2" t="s">
        <v>251</v>
      </c>
      <c r="D208" s="3">
        <v>2000</v>
      </c>
    </row>
    <row r="209" spans="1:5" x14ac:dyDescent="0.3">
      <c r="A209" s="32">
        <v>46264</v>
      </c>
      <c r="B209" s="2" t="str">
        <f t="shared" si="4"/>
        <v>agosto</v>
      </c>
      <c r="C209" s="2" t="s">
        <v>251</v>
      </c>
      <c r="D209" s="3">
        <v>2000</v>
      </c>
    </row>
    <row r="210" spans="1:5" x14ac:dyDescent="0.3">
      <c r="A210" s="32">
        <v>46295</v>
      </c>
      <c r="B210" s="2" t="str">
        <f t="shared" si="4"/>
        <v>setembro</v>
      </c>
      <c r="C210" s="2" t="s">
        <v>251</v>
      </c>
      <c r="D210" s="3">
        <v>2000</v>
      </c>
    </row>
    <row r="211" spans="1:5" x14ac:dyDescent="0.3">
      <c r="A211" s="32">
        <v>46325</v>
      </c>
      <c r="B211" s="2" t="str">
        <f t="shared" si="4"/>
        <v>outubro</v>
      </c>
      <c r="C211" s="2" t="s">
        <v>251</v>
      </c>
      <c r="D211" s="3">
        <v>2000</v>
      </c>
    </row>
    <row r="212" spans="1:5" x14ac:dyDescent="0.3">
      <c r="A212" s="32">
        <v>46356</v>
      </c>
      <c r="B212" s="2" t="str">
        <f t="shared" si="4"/>
        <v>novembro</v>
      </c>
      <c r="C212" s="2" t="s">
        <v>251</v>
      </c>
      <c r="D212" s="3">
        <v>2000</v>
      </c>
    </row>
    <row r="213" spans="1:5" x14ac:dyDescent="0.3">
      <c r="A213" s="32">
        <v>46386</v>
      </c>
      <c r="B213" s="2" t="str">
        <f t="shared" si="4"/>
        <v>dezembro</v>
      </c>
      <c r="C213" s="2" t="s">
        <v>251</v>
      </c>
      <c r="D213" s="3">
        <v>2000</v>
      </c>
    </row>
    <row r="214" spans="1:5" x14ac:dyDescent="0.3">
      <c r="A214" s="32">
        <v>46052</v>
      </c>
      <c r="B214" s="2" t="str">
        <f t="shared" si="4"/>
        <v>janeiro</v>
      </c>
      <c r="C214" s="2" t="s">
        <v>255</v>
      </c>
      <c r="D214" s="11"/>
      <c r="E214" s="11">
        <f>JANEIRO!C108</f>
        <v>18550</v>
      </c>
    </row>
    <row r="215" spans="1:5" x14ac:dyDescent="0.3">
      <c r="A215" s="32">
        <v>46081</v>
      </c>
      <c r="B215" s="2" t="str">
        <f t="shared" ref="B215:B225" si="6">TEXT(A215,"MMMM")</f>
        <v>fevereiro</v>
      </c>
      <c r="C215" s="2" t="s">
        <v>255</v>
      </c>
      <c r="D215" s="11"/>
      <c r="E215" s="11">
        <f>FEVEREIRO!C113</f>
        <v>23100</v>
      </c>
    </row>
    <row r="216" spans="1:5" x14ac:dyDescent="0.3">
      <c r="A216" s="32">
        <v>46111</v>
      </c>
      <c r="B216" s="2" t="str">
        <f t="shared" si="6"/>
        <v>março</v>
      </c>
      <c r="C216" s="2" t="s">
        <v>255</v>
      </c>
      <c r="D216" s="11"/>
    </row>
    <row r="217" spans="1:5" x14ac:dyDescent="0.3">
      <c r="A217" s="32">
        <v>46142</v>
      </c>
      <c r="B217" s="2" t="str">
        <f t="shared" si="6"/>
        <v>abril</v>
      </c>
      <c r="C217" s="2" t="s">
        <v>255</v>
      </c>
      <c r="D217" s="11"/>
    </row>
    <row r="218" spans="1:5" x14ac:dyDescent="0.3">
      <c r="A218" s="32">
        <v>46172</v>
      </c>
      <c r="B218" s="2" t="str">
        <f t="shared" si="6"/>
        <v>maio</v>
      </c>
      <c r="C218" s="2" t="s">
        <v>255</v>
      </c>
      <c r="D218" s="11"/>
      <c r="E218" s="11">
        <f>MAIO!C94</f>
        <v>3950</v>
      </c>
    </row>
    <row r="219" spans="1:5" x14ac:dyDescent="0.3">
      <c r="A219" s="32">
        <v>46203</v>
      </c>
      <c r="B219" s="2" t="str">
        <f t="shared" si="6"/>
        <v>junho</v>
      </c>
      <c r="C219" s="2" t="s">
        <v>255</v>
      </c>
      <c r="D219" s="11"/>
      <c r="E219" s="11">
        <f>JUNHO!D91</f>
        <v>8680</v>
      </c>
    </row>
    <row r="220" spans="1:5" x14ac:dyDescent="0.3">
      <c r="A220" s="32">
        <v>46233</v>
      </c>
      <c r="B220" s="2" t="str">
        <f t="shared" si="6"/>
        <v>julho</v>
      </c>
      <c r="C220" s="2" t="s">
        <v>255</v>
      </c>
      <c r="D220" s="11"/>
    </row>
    <row r="221" spans="1:5" x14ac:dyDescent="0.3">
      <c r="A221" s="32">
        <v>46264</v>
      </c>
      <c r="B221" s="2" t="str">
        <f t="shared" si="6"/>
        <v>agosto</v>
      </c>
      <c r="C221" s="2" t="s">
        <v>255</v>
      </c>
      <c r="D221" s="11"/>
    </row>
    <row r="222" spans="1:5" x14ac:dyDescent="0.3">
      <c r="A222" s="32">
        <v>46295</v>
      </c>
      <c r="B222" s="2" t="str">
        <f t="shared" si="6"/>
        <v>setembro</v>
      </c>
      <c r="C222" s="2" t="s">
        <v>255</v>
      </c>
      <c r="D222" s="11"/>
    </row>
    <row r="223" spans="1:5" x14ac:dyDescent="0.3">
      <c r="A223" s="32">
        <v>46325</v>
      </c>
      <c r="B223" s="2" t="str">
        <f t="shared" si="6"/>
        <v>outubro</v>
      </c>
      <c r="C223" s="2" t="s">
        <v>255</v>
      </c>
      <c r="D223" s="11"/>
    </row>
    <row r="224" spans="1:5" x14ac:dyDescent="0.3">
      <c r="A224" s="32">
        <v>46356</v>
      </c>
      <c r="B224" s="2" t="str">
        <f t="shared" si="6"/>
        <v>novembro</v>
      </c>
      <c r="C224" s="2" t="s">
        <v>255</v>
      </c>
      <c r="D224" s="11"/>
    </row>
    <row r="225" spans="1:4" x14ac:dyDescent="0.3">
      <c r="A225" s="32">
        <v>46386</v>
      </c>
      <c r="B225" s="2" t="str">
        <f t="shared" si="6"/>
        <v>dezembro</v>
      </c>
      <c r="C225" s="2" t="s">
        <v>255</v>
      </c>
      <c r="D225" s="11"/>
    </row>
  </sheetData>
  <autoFilter ref="A2:E225" xr:uid="{32A95203-69CE-49BC-81BA-0F55DA28DDEB}">
    <sortState xmlns:xlrd2="http://schemas.microsoft.com/office/spreadsheetml/2017/richdata2" ref="A3:E189">
      <sortCondition ref="A2:A165"/>
    </sortState>
  </autoFilter>
  <mergeCells count="1">
    <mergeCell ref="A1:E1"/>
  </mergeCells>
  <phoneticPr fontId="18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0C1A-74E3-45DA-BCBF-1DA4F14A1D38}">
  <dimension ref="A1:D4"/>
  <sheetViews>
    <sheetView workbookViewId="0">
      <selection activeCell="A3" sqref="A3:D4"/>
    </sheetView>
  </sheetViews>
  <sheetFormatPr defaultRowHeight="14.4" x14ac:dyDescent="0.3"/>
  <cols>
    <col min="1" max="1" width="10.5546875" bestFit="1" customWidth="1"/>
    <col min="2" max="2" width="9" bestFit="1" customWidth="1"/>
    <col min="3" max="3" width="13.44140625" bestFit="1" customWidth="1"/>
    <col min="4" max="4" width="9" bestFit="1" customWidth="1"/>
  </cols>
  <sheetData>
    <row r="1" spans="1:4" x14ac:dyDescent="0.3">
      <c r="A1" s="118" t="s">
        <v>260</v>
      </c>
    </row>
    <row r="3" spans="1:4" x14ac:dyDescent="0.3">
      <c r="A3" t="s">
        <v>0</v>
      </c>
      <c r="B3" t="s">
        <v>60</v>
      </c>
      <c r="C3" t="s">
        <v>1</v>
      </c>
      <c r="D3" t="s">
        <v>4</v>
      </c>
    </row>
    <row r="4" spans="1:4" x14ac:dyDescent="0.3">
      <c r="A4" s="1">
        <v>46063</v>
      </c>
      <c r="B4" t="s">
        <v>259</v>
      </c>
      <c r="C4" t="s">
        <v>125</v>
      </c>
      <c r="D4">
        <v>2000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ECCC-F860-44A3-BFF1-8A9FF4018D82}">
  <dimension ref="A3:G21"/>
  <sheetViews>
    <sheetView showGridLines="0" topLeftCell="A2" workbookViewId="0">
      <selection activeCell="G11" sqref="G11"/>
    </sheetView>
  </sheetViews>
  <sheetFormatPr defaultRowHeight="14.4" x14ac:dyDescent="0.3"/>
  <cols>
    <col min="1" max="1" width="21.109375" bestFit="1" customWidth="1"/>
    <col min="2" max="2" width="10.44140625" bestFit="1" customWidth="1"/>
    <col min="3" max="4" width="11.44140625" bestFit="1" customWidth="1"/>
    <col min="5" max="6" width="10.44140625" bestFit="1" customWidth="1"/>
    <col min="7" max="7" width="11.44140625" bestFit="1" customWidth="1"/>
  </cols>
  <sheetData>
    <row r="3" spans="1:7" x14ac:dyDescent="0.3">
      <c r="A3" s="17" t="s">
        <v>109</v>
      </c>
      <c r="B3" s="17" t="s">
        <v>61</v>
      </c>
      <c r="C3" s="8"/>
      <c r="D3" s="8"/>
      <c r="E3" s="8"/>
      <c r="F3" s="8"/>
      <c r="G3" s="8"/>
    </row>
    <row r="4" spans="1:7" x14ac:dyDescent="0.3">
      <c r="A4" s="17" t="s">
        <v>108</v>
      </c>
      <c r="B4" s="13" t="s">
        <v>107</v>
      </c>
      <c r="C4" s="13" t="s">
        <v>124</v>
      </c>
      <c r="D4" s="13" t="s">
        <v>153</v>
      </c>
      <c r="E4" s="13" t="s">
        <v>190</v>
      </c>
      <c r="F4" s="13" t="s">
        <v>191</v>
      </c>
      <c r="G4" s="8" t="s">
        <v>29</v>
      </c>
    </row>
    <row r="5" spans="1:7" x14ac:dyDescent="0.3">
      <c r="A5" s="18" t="s">
        <v>87</v>
      </c>
      <c r="B5" s="8">
        <v>9069.5</v>
      </c>
      <c r="C5" s="8">
        <v>291</v>
      </c>
      <c r="D5" s="8">
        <v>54</v>
      </c>
      <c r="E5" s="8">
        <v>6400</v>
      </c>
      <c r="F5" s="8"/>
      <c r="G5" s="8">
        <v>15814.5</v>
      </c>
    </row>
    <row r="6" spans="1:7" x14ac:dyDescent="0.3">
      <c r="A6" s="18" t="s">
        <v>96</v>
      </c>
      <c r="B6" s="8">
        <v>500</v>
      </c>
      <c r="C6" s="8"/>
      <c r="D6" s="8">
        <v>1200</v>
      </c>
      <c r="E6" s="8"/>
      <c r="F6" s="8"/>
      <c r="G6" s="8">
        <v>1700</v>
      </c>
    </row>
    <row r="7" spans="1:7" x14ac:dyDescent="0.3">
      <c r="A7" s="18" t="s">
        <v>2</v>
      </c>
      <c r="B7" s="8">
        <v>28340</v>
      </c>
      <c r="C7" s="8">
        <v>50140</v>
      </c>
      <c r="D7" s="8">
        <v>67362</v>
      </c>
      <c r="E7" s="8">
        <v>7000</v>
      </c>
      <c r="F7" s="8">
        <v>17994</v>
      </c>
      <c r="G7" s="8">
        <v>170836</v>
      </c>
    </row>
    <row r="8" spans="1:7" x14ac:dyDescent="0.3">
      <c r="A8" s="18" t="s">
        <v>3</v>
      </c>
      <c r="B8" s="8">
        <v>34600</v>
      </c>
      <c r="C8" s="8">
        <v>42650</v>
      </c>
      <c r="D8" s="8">
        <v>46150</v>
      </c>
      <c r="E8" s="8">
        <v>15500</v>
      </c>
      <c r="F8" s="8">
        <v>24936</v>
      </c>
      <c r="G8" s="8">
        <v>163836</v>
      </c>
    </row>
    <row r="9" spans="1:7" x14ac:dyDescent="0.3">
      <c r="A9" s="18" t="s">
        <v>123</v>
      </c>
      <c r="B9" s="8">
        <v>5000</v>
      </c>
      <c r="C9" s="8">
        <v>10200</v>
      </c>
      <c r="D9" s="8"/>
      <c r="E9" s="8"/>
      <c r="F9" s="8"/>
      <c r="G9" s="8">
        <v>15200</v>
      </c>
    </row>
    <row r="10" spans="1:7" x14ac:dyDescent="0.3">
      <c r="A10" s="18" t="s">
        <v>125</v>
      </c>
      <c r="B10" s="8">
        <v>700</v>
      </c>
      <c r="C10" s="8">
        <v>2000</v>
      </c>
      <c r="D10" s="8"/>
      <c r="E10" s="8"/>
      <c r="F10" s="8"/>
      <c r="G10" s="8">
        <v>2700</v>
      </c>
    </row>
    <row r="11" spans="1:7" x14ac:dyDescent="0.3">
      <c r="A11" s="18" t="s">
        <v>29</v>
      </c>
      <c r="B11" s="8">
        <v>78209.5</v>
      </c>
      <c r="C11" s="8">
        <v>105281</v>
      </c>
      <c r="D11" s="8">
        <v>114766</v>
      </c>
      <c r="E11" s="8">
        <v>28900</v>
      </c>
      <c r="F11" s="8">
        <v>42930</v>
      </c>
      <c r="G11" s="8">
        <v>370086.5</v>
      </c>
    </row>
    <row r="13" spans="1:7" x14ac:dyDescent="0.3">
      <c r="A13" s="17" t="s">
        <v>131</v>
      </c>
      <c r="B13" s="17" t="s">
        <v>61</v>
      </c>
      <c r="C13" s="8"/>
      <c r="D13" s="8"/>
      <c r="E13" s="8"/>
      <c r="F13" s="8"/>
      <c r="G13" s="8"/>
    </row>
    <row r="14" spans="1:7" x14ac:dyDescent="0.3">
      <c r="A14" s="17" t="s">
        <v>132</v>
      </c>
      <c r="B14" s="13" t="s">
        <v>107</v>
      </c>
      <c r="C14" s="13" t="s">
        <v>124</v>
      </c>
      <c r="D14" s="13" t="s">
        <v>153</v>
      </c>
      <c r="E14" s="13" t="s">
        <v>190</v>
      </c>
      <c r="F14" s="13" t="s">
        <v>191</v>
      </c>
      <c r="G14" s="8" t="s">
        <v>29</v>
      </c>
    </row>
    <row r="15" spans="1:7" x14ac:dyDescent="0.3">
      <c r="A15" s="18" t="s">
        <v>87</v>
      </c>
      <c r="B15" s="86">
        <v>4</v>
      </c>
      <c r="C15" s="86">
        <v>4</v>
      </c>
      <c r="D15" s="86">
        <v>2</v>
      </c>
      <c r="E15" s="86">
        <v>1</v>
      </c>
      <c r="F15" s="86"/>
      <c r="G15" s="86">
        <v>11</v>
      </c>
    </row>
    <row r="16" spans="1:7" x14ac:dyDescent="0.3">
      <c r="A16" s="18" t="s">
        <v>96</v>
      </c>
      <c r="B16" s="86">
        <v>1</v>
      </c>
      <c r="C16" s="86"/>
      <c r="D16" s="86">
        <v>1</v>
      </c>
      <c r="E16" s="86"/>
      <c r="F16" s="86"/>
      <c r="G16" s="86">
        <v>2</v>
      </c>
    </row>
    <row r="17" spans="1:7" x14ac:dyDescent="0.3">
      <c r="A17" s="18" t="s">
        <v>2</v>
      </c>
      <c r="B17" s="86">
        <v>3</v>
      </c>
      <c r="C17" s="86">
        <v>3</v>
      </c>
      <c r="D17" s="86">
        <v>2</v>
      </c>
      <c r="E17" s="86">
        <v>1</v>
      </c>
      <c r="F17" s="86">
        <v>1</v>
      </c>
      <c r="G17" s="86">
        <v>10</v>
      </c>
    </row>
    <row r="18" spans="1:7" x14ac:dyDescent="0.3">
      <c r="A18" s="18" t="s">
        <v>3</v>
      </c>
      <c r="B18" s="86">
        <v>13</v>
      </c>
      <c r="C18" s="86">
        <v>8</v>
      </c>
      <c r="D18" s="86">
        <v>15</v>
      </c>
      <c r="E18" s="86">
        <v>6</v>
      </c>
      <c r="F18" s="86">
        <v>10</v>
      </c>
      <c r="G18" s="86">
        <v>52</v>
      </c>
    </row>
    <row r="19" spans="1:7" x14ac:dyDescent="0.3">
      <c r="A19" s="18" t="s">
        <v>123</v>
      </c>
      <c r="B19" s="86">
        <v>1</v>
      </c>
      <c r="C19" s="86">
        <v>2</v>
      </c>
      <c r="D19" s="86"/>
      <c r="E19" s="86"/>
      <c r="F19" s="86"/>
      <c r="G19" s="86">
        <v>3</v>
      </c>
    </row>
    <row r="20" spans="1:7" x14ac:dyDescent="0.3">
      <c r="A20" s="18" t="s">
        <v>125</v>
      </c>
      <c r="B20" s="86">
        <v>1</v>
      </c>
      <c r="C20" s="86">
        <v>1</v>
      </c>
      <c r="D20" s="86"/>
      <c r="E20" s="86"/>
      <c r="F20" s="86"/>
      <c r="G20" s="86">
        <v>2</v>
      </c>
    </row>
    <row r="21" spans="1:7" x14ac:dyDescent="0.3">
      <c r="A21" s="18" t="s">
        <v>29</v>
      </c>
      <c r="B21" s="19">
        <v>23</v>
      </c>
      <c r="C21" s="19">
        <v>18</v>
      </c>
      <c r="D21" s="19">
        <v>20</v>
      </c>
      <c r="E21" s="19">
        <v>8</v>
      </c>
      <c r="F21" s="19">
        <v>11</v>
      </c>
      <c r="G21" s="19">
        <v>80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040C-E46E-4545-9F51-FF027E278CA0}">
  <dimension ref="A3:N187"/>
  <sheetViews>
    <sheetView showGridLines="0" tabSelected="1" topLeftCell="A17" workbookViewId="0">
      <selection activeCell="O24" sqref="O24"/>
    </sheetView>
  </sheetViews>
  <sheetFormatPr defaultRowHeight="14.4" x14ac:dyDescent="0.3"/>
  <cols>
    <col min="1" max="1" width="16.21875" bestFit="1" customWidth="1"/>
    <col min="2" max="3" width="14.109375" style="11" bestFit="1" customWidth="1"/>
    <col min="4" max="7" width="13.109375" bestFit="1" customWidth="1"/>
    <col min="8" max="8" width="6.88671875" bestFit="1" customWidth="1"/>
    <col min="9" max="9" width="8.5546875" bestFit="1" customWidth="1"/>
    <col min="10" max="10" width="10.77734375" bestFit="1" customWidth="1"/>
    <col min="11" max="11" width="10" bestFit="1" customWidth="1"/>
    <col min="12" max="12" width="11.6640625" bestFit="1" customWidth="1"/>
    <col min="13" max="13" width="11" bestFit="1" customWidth="1"/>
    <col min="14" max="14" width="14.109375" style="3" bestFit="1" customWidth="1"/>
    <col min="15" max="15" width="14.109375" bestFit="1" customWidth="1"/>
    <col min="16" max="25" width="12" bestFit="1" customWidth="1"/>
    <col min="26" max="26" width="14.6640625" bestFit="1" customWidth="1"/>
    <col min="27" max="28" width="14.109375" bestFit="1" customWidth="1"/>
    <col min="29" max="29" width="14.6640625" bestFit="1" customWidth="1"/>
  </cols>
  <sheetData>
    <row r="3" spans="1:3" x14ac:dyDescent="0.3">
      <c r="A3" s="33" t="s">
        <v>210</v>
      </c>
      <c r="B3" s="2" t="s">
        <v>208</v>
      </c>
      <c r="C3" s="2" t="s">
        <v>209</v>
      </c>
    </row>
    <row r="4" spans="1:3" x14ac:dyDescent="0.3">
      <c r="A4" s="34" t="s">
        <v>196</v>
      </c>
      <c r="B4" s="92">
        <v>28397.77</v>
      </c>
      <c r="C4" s="92">
        <v>46996.87</v>
      </c>
    </row>
    <row r="5" spans="1:3" x14ac:dyDescent="0.3">
      <c r="A5" s="34" t="s">
        <v>197</v>
      </c>
      <c r="B5" s="92">
        <v>30947.77</v>
      </c>
      <c r="C5" s="92">
        <v>52631.5</v>
      </c>
    </row>
    <row r="6" spans="1:3" x14ac:dyDescent="0.3">
      <c r="A6" s="34" t="s">
        <v>198</v>
      </c>
      <c r="B6" s="92">
        <v>31388.010000000002</v>
      </c>
      <c r="C6" s="92">
        <v>11886.41</v>
      </c>
    </row>
    <row r="7" spans="1:3" x14ac:dyDescent="0.3">
      <c r="A7" s="34" t="s">
        <v>199</v>
      </c>
      <c r="B7" s="92">
        <v>31488.010000000002</v>
      </c>
      <c r="C7" s="92">
        <v>14416.090000000002</v>
      </c>
    </row>
    <row r="8" spans="1:3" x14ac:dyDescent="0.3">
      <c r="A8" s="34" t="s">
        <v>200</v>
      </c>
      <c r="B8" s="92">
        <v>22663.010000000002</v>
      </c>
      <c r="C8" s="92">
        <v>21686.079999999998</v>
      </c>
    </row>
    <row r="9" spans="1:3" x14ac:dyDescent="0.3">
      <c r="A9" s="34" t="s">
        <v>201</v>
      </c>
      <c r="B9" s="92">
        <v>31488.010000000002</v>
      </c>
      <c r="C9" s="92">
        <v>13272.880000000001</v>
      </c>
    </row>
    <row r="10" spans="1:3" x14ac:dyDescent="0.3">
      <c r="A10" s="34" t="s">
        <v>202</v>
      </c>
      <c r="B10" s="92">
        <v>31488.010000000002</v>
      </c>
      <c r="C10" s="92"/>
    </row>
    <row r="11" spans="1:3" x14ac:dyDescent="0.3">
      <c r="A11" s="34" t="s">
        <v>203</v>
      </c>
      <c r="B11" s="92">
        <v>31488.010000000002</v>
      </c>
      <c r="C11" s="92"/>
    </row>
    <row r="12" spans="1:3" x14ac:dyDescent="0.3">
      <c r="A12" s="34" t="s">
        <v>204</v>
      </c>
      <c r="B12" s="92">
        <v>31488.010000000002</v>
      </c>
      <c r="C12" s="92"/>
    </row>
    <row r="13" spans="1:3" x14ac:dyDescent="0.3">
      <c r="A13" s="34" t="s">
        <v>205</v>
      </c>
      <c r="B13" s="92">
        <v>31488.010000000002</v>
      </c>
      <c r="C13" s="92"/>
    </row>
    <row r="14" spans="1:3" x14ac:dyDescent="0.3">
      <c r="A14" s="34" t="s">
        <v>206</v>
      </c>
      <c r="B14" s="92">
        <v>31488.010000000002</v>
      </c>
      <c r="C14" s="92"/>
    </row>
    <row r="15" spans="1:3" x14ac:dyDescent="0.3">
      <c r="A15" s="34" t="s">
        <v>207</v>
      </c>
      <c r="B15" s="92">
        <v>31488.010000000002</v>
      </c>
      <c r="C15" s="92"/>
    </row>
    <row r="16" spans="1:3" x14ac:dyDescent="0.3">
      <c r="A16" s="34" t="s">
        <v>29</v>
      </c>
      <c r="B16" s="93">
        <v>365300.64000000007</v>
      </c>
      <c r="C16" s="93">
        <v>160889.82999999999</v>
      </c>
    </row>
    <row r="17" spans="1:14" x14ac:dyDescent="0.3">
      <c r="B17"/>
      <c r="C17"/>
    </row>
    <row r="19" spans="1:14" ht="17.399999999999999" customHeight="1" x14ac:dyDescent="0.3">
      <c r="A19" s="106" t="s">
        <v>224</v>
      </c>
      <c r="B19" s="33" t="s">
        <v>61</v>
      </c>
      <c r="C19"/>
      <c r="N19"/>
    </row>
    <row r="20" spans="1:14" ht="18.600000000000001" customHeight="1" x14ac:dyDescent="0.3">
      <c r="A20" s="104" t="s">
        <v>210</v>
      </c>
      <c r="B20" s="105" t="s">
        <v>211</v>
      </c>
      <c r="C20" s="105" t="s">
        <v>212</v>
      </c>
      <c r="D20" s="105" t="s">
        <v>213</v>
      </c>
      <c r="E20" s="105" t="s">
        <v>214</v>
      </c>
      <c r="F20" s="105" t="s">
        <v>215</v>
      </c>
      <c r="G20" s="105" t="s">
        <v>216</v>
      </c>
      <c r="H20" s="105" t="s">
        <v>217</v>
      </c>
      <c r="I20" s="105" t="s">
        <v>218</v>
      </c>
      <c r="J20" s="105" t="s">
        <v>219</v>
      </c>
      <c r="K20" s="105" t="s">
        <v>220</v>
      </c>
      <c r="L20" s="105" t="s">
        <v>221</v>
      </c>
      <c r="M20" s="105" t="s">
        <v>222</v>
      </c>
      <c r="N20" s="105" t="s">
        <v>223</v>
      </c>
    </row>
    <row r="21" spans="1:14" x14ac:dyDescent="0.3">
      <c r="A21" s="34" t="s">
        <v>245</v>
      </c>
      <c r="B21" s="94">
        <v>2000</v>
      </c>
      <c r="C21" s="94">
        <v>3000</v>
      </c>
      <c r="D21" s="94">
        <v>3000</v>
      </c>
      <c r="E21" s="94">
        <v>3000</v>
      </c>
      <c r="F21" s="94">
        <v>3000</v>
      </c>
      <c r="G21" s="94"/>
      <c r="H21" s="94"/>
      <c r="I21" s="94"/>
      <c r="J21" s="94"/>
      <c r="K21" s="94"/>
      <c r="L21" s="94"/>
      <c r="M21" s="94"/>
      <c r="N21" s="94">
        <v>14000</v>
      </c>
    </row>
    <row r="22" spans="1:14" x14ac:dyDescent="0.3">
      <c r="A22" s="34" t="s">
        <v>194</v>
      </c>
      <c r="B22" s="94">
        <v>136.56</v>
      </c>
      <c r="C22" s="94">
        <v>136.56</v>
      </c>
      <c r="D22" s="94">
        <v>136.56</v>
      </c>
      <c r="E22" s="94">
        <v>136.56</v>
      </c>
      <c r="F22" s="94">
        <v>136.56</v>
      </c>
      <c r="G22" s="94">
        <v>136.56</v>
      </c>
      <c r="H22" s="94"/>
      <c r="I22" s="94"/>
      <c r="J22" s="94"/>
      <c r="K22" s="94"/>
      <c r="L22" s="94"/>
      <c r="M22" s="94"/>
      <c r="N22" s="94">
        <v>819.3599999999999</v>
      </c>
    </row>
    <row r="23" spans="1:14" x14ac:dyDescent="0.3">
      <c r="A23" s="34" t="s">
        <v>251</v>
      </c>
      <c r="B23" s="94">
        <v>1720</v>
      </c>
      <c r="C23" s="94">
        <v>1870</v>
      </c>
      <c r="D23" s="94"/>
      <c r="E23" s="94"/>
      <c r="F23" s="94">
        <v>1265</v>
      </c>
      <c r="G23" s="94"/>
      <c r="H23" s="94"/>
      <c r="I23" s="94"/>
      <c r="J23" s="94"/>
      <c r="K23" s="94"/>
      <c r="L23" s="94"/>
      <c r="M23" s="94"/>
      <c r="N23" s="94">
        <v>4855</v>
      </c>
    </row>
    <row r="24" spans="1:14" x14ac:dyDescent="0.3">
      <c r="A24" s="34" t="s">
        <v>9</v>
      </c>
      <c r="B24" s="94">
        <v>2000</v>
      </c>
      <c r="C24" s="94">
        <v>2000</v>
      </c>
      <c r="D24" s="94">
        <v>2000</v>
      </c>
      <c r="E24" s="94">
        <v>2000</v>
      </c>
      <c r="F24" s="94">
        <v>2000</v>
      </c>
      <c r="G24" s="94">
        <v>2000</v>
      </c>
      <c r="H24" s="94"/>
      <c r="I24" s="94"/>
      <c r="J24" s="94"/>
      <c r="K24" s="94"/>
      <c r="L24" s="94"/>
      <c r="M24" s="94"/>
      <c r="N24" s="94">
        <v>12000</v>
      </c>
    </row>
    <row r="25" spans="1:14" x14ac:dyDescent="0.3">
      <c r="A25" s="34" t="s">
        <v>54</v>
      </c>
      <c r="B25" s="94">
        <v>153.26</v>
      </c>
      <c r="C25" s="94">
        <v>153.26</v>
      </c>
      <c r="D25" s="94">
        <v>153.26</v>
      </c>
      <c r="E25" s="94">
        <v>153.26</v>
      </c>
      <c r="F25" s="94">
        <v>153.26</v>
      </c>
      <c r="G25" s="94">
        <v>153.26</v>
      </c>
      <c r="H25" s="94"/>
      <c r="I25" s="94"/>
      <c r="J25" s="94"/>
      <c r="K25" s="94"/>
      <c r="L25" s="94"/>
      <c r="M25" s="94"/>
      <c r="N25" s="94">
        <v>919.56</v>
      </c>
    </row>
    <row r="26" spans="1:14" x14ac:dyDescent="0.3">
      <c r="A26" s="34" t="s">
        <v>244</v>
      </c>
      <c r="B26" s="94">
        <v>400</v>
      </c>
      <c r="C26" s="94">
        <v>400</v>
      </c>
      <c r="D26" s="94">
        <v>400</v>
      </c>
      <c r="E26" s="94">
        <v>400</v>
      </c>
      <c r="F26" s="94">
        <v>400</v>
      </c>
      <c r="G26" s="94">
        <v>500</v>
      </c>
      <c r="H26" s="94"/>
      <c r="I26" s="94"/>
      <c r="J26" s="94"/>
      <c r="K26" s="94"/>
      <c r="L26" s="94"/>
      <c r="M26" s="94"/>
      <c r="N26" s="94">
        <v>2500</v>
      </c>
    </row>
    <row r="27" spans="1:14" x14ac:dyDescent="0.3">
      <c r="A27" s="34" t="s">
        <v>18</v>
      </c>
      <c r="B27" s="94">
        <v>1691.83</v>
      </c>
      <c r="C27" s="94">
        <v>0</v>
      </c>
      <c r="D27" s="94">
        <v>1448</v>
      </c>
      <c r="E27" s="94">
        <v>2947.28</v>
      </c>
      <c r="F27" s="94">
        <v>432.96</v>
      </c>
      <c r="G27" s="94"/>
      <c r="H27" s="94"/>
      <c r="I27" s="94"/>
      <c r="J27" s="94"/>
      <c r="K27" s="94"/>
      <c r="L27" s="94"/>
      <c r="M27" s="94"/>
      <c r="N27" s="94">
        <v>6520.0700000000006</v>
      </c>
    </row>
    <row r="28" spans="1:14" x14ac:dyDescent="0.3">
      <c r="A28" s="34" t="s">
        <v>24</v>
      </c>
      <c r="B28" s="94">
        <v>15600</v>
      </c>
      <c r="C28" s="94">
        <v>17000</v>
      </c>
      <c r="D28" s="94"/>
      <c r="E28" s="94"/>
      <c r="F28" s="94">
        <v>8910</v>
      </c>
      <c r="G28" s="94"/>
      <c r="H28" s="94"/>
      <c r="I28" s="94"/>
      <c r="J28" s="94"/>
      <c r="K28" s="94"/>
      <c r="L28" s="94"/>
      <c r="M28" s="94"/>
      <c r="N28" s="94">
        <v>41510</v>
      </c>
    </row>
    <row r="29" spans="1:14" x14ac:dyDescent="0.3">
      <c r="A29" s="34" t="s">
        <v>56</v>
      </c>
      <c r="B29" s="94"/>
      <c r="C29" s="94"/>
      <c r="D29" s="94">
        <v>310.24</v>
      </c>
      <c r="E29" s="94">
        <v>313.37</v>
      </c>
      <c r="F29" s="94"/>
      <c r="G29" s="94"/>
      <c r="H29" s="94"/>
      <c r="I29" s="94"/>
      <c r="J29" s="94"/>
      <c r="K29" s="94"/>
      <c r="L29" s="94"/>
      <c r="M29" s="94"/>
      <c r="N29" s="94">
        <v>623.61</v>
      </c>
    </row>
    <row r="30" spans="1:14" x14ac:dyDescent="0.3">
      <c r="A30" s="34" t="s">
        <v>57</v>
      </c>
      <c r="B30" s="94">
        <v>485.76</v>
      </c>
      <c r="C30" s="94">
        <v>496.26</v>
      </c>
      <c r="D30" s="94"/>
      <c r="E30" s="94">
        <v>506.99</v>
      </c>
      <c r="F30" s="94">
        <v>512.29</v>
      </c>
      <c r="G30" s="94"/>
      <c r="H30" s="94"/>
      <c r="I30" s="94"/>
      <c r="J30" s="94"/>
      <c r="K30" s="94"/>
      <c r="L30" s="94"/>
      <c r="M30" s="94"/>
      <c r="N30" s="94">
        <v>2001.3</v>
      </c>
    </row>
    <row r="31" spans="1:14" x14ac:dyDescent="0.3">
      <c r="A31" s="34" t="s">
        <v>253</v>
      </c>
      <c r="B31" s="94">
        <v>941.6</v>
      </c>
      <c r="C31" s="94">
        <v>941.6</v>
      </c>
      <c r="D31" s="94">
        <v>941.6</v>
      </c>
      <c r="E31" s="94">
        <v>941.6</v>
      </c>
      <c r="F31" s="94">
        <v>941.6</v>
      </c>
      <c r="G31" s="94"/>
      <c r="H31" s="94"/>
      <c r="I31" s="94"/>
      <c r="J31" s="94"/>
      <c r="K31" s="94"/>
      <c r="L31" s="94"/>
      <c r="M31" s="94"/>
      <c r="N31" s="94">
        <v>4708</v>
      </c>
    </row>
    <row r="32" spans="1:14" x14ac:dyDescent="0.3">
      <c r="A32" s="34" t="s">
        <v>53</v>
      </c>
      <c r="B32" s="94">
        <v>251.55</v>
      </c>
      <c r="C32" s="94">
        <v>223.23</v>
      </c>
      <c r="D32" s="94">
        <v>186.16</v>
      </c>
      <c r="E32" s="94">
        <v>181.06</v>
      </c>
      <c r="F32" s="94">
        <v>173.82</v>
      </c>
      <c r="G32" s="94">
        <v>136.75</v>
      </c>
      <c r="H32" s="94"/>
      <c r="I32" s="94"/>
      <c r="J32" s="94"/>
      <c r="K32" s="94"/>
      <c r="L32" s="94"/>
      <c r="M32" s="94"/>
      <c r="N32" s="94">
        <v>1152.57</v>
      </c>
    </row>
    <row r="33" spans="1:14" x14ac:dyDescent="0.3">
      <c r="A33" s="34" t="s">
        <v>255</v>
      </c>
      <c r="B33" s="94">
        <v>18550</v>
      </c>
      <c r="C33" s="94">
        <v>23100</v>
      </c>
      <c r="D33" s="94"/>
      <c r="E33" s="94"/>
      <c r="F33" s="94">
        <v>450</v>
      </c>
      <c r="G33" s="94">
        <v>8680</v>
      </c>
      <c r="H33" s="94"/>
      <c r="I33" s="94"/>
      <c r="J33" s="94"/>
      <c r="K33" s="94"/>
      <c r="L33" s="94"/>
      <c r="M33" s="94"/>
      <c r="N33" s="94">
        <v>50780</v>
      </c>
    </row>
    <row r="34" spans="1:14" x14ac:dyDescent="0.3">
      <c r="A34" s="34" t="s">
        <v>155</v>
      </c>
      <c r="B34" s="94">
        <v>86.31</v>
      </c>
      <c r="C34" s="94">
        <v>86.31</v>
      </c>
      <c r="D34" s="94">
        <v>86.31</v>
      </c>
      <c r="E34" s="94">
        <v>86.31</v>
      </c>
      <c r="F34" s="94">
        <v>86.31</v>
      </c>
      <c r="G34" s="94">
        <v>86.31</v>
      </c>
      <c r="H34" s="94"/>
      <c r="I34" s="94"/>
      <c r="J34" s="94"/>
      <c r="K34" s="94"/>
      <c r="L34" s="94"/>
      <c r="M34" s="94"/>
      <c r="N34" s="94">
        <v>517.86</v>
      </c>
    </row>
    <row r="35" spans="1:14" x14ac:dyDescent="0.3">
      <c r="A35" s="34" t="s">
        <v>51</v>
      </c>
      <c r="B35" s="94">
        <v>1580</v>
      </c>
      <c r="C35" s="94">
        <v>1580</v>
      </c>
      <c r="D35" s="94">
        <v>1580</v>
      </c>
      <c r="E35" s="94">
        <v>1580</v>
      </c>
      <c r="F35" s="94">
        <v>1580</v>
      </c>
      <c r="G35" s="94">
        <v>1580</v>
      </c>
      <c r="H35" s="94"/>
      <c r="I35" s="94"/>
      <c r="J35" s="94"/>
      <c r="K35" s="94"/>
      <c r="L35" s="94"/>
      <c r="M35" s="94"/>
      <c r="N35" s="94">
        <v>9480</v>
      </c>
    </row>
    <row r="36" spans="1:14" x14ac:dyDescent="0.3">
      <c r="A36" s="34" t="s">
        <v>52</v>
      </c>
      <c r="B36" s="94"/>
      <c r="C36" s="94"/>
      <c r="D36" s="94"/>
      <c r="E36" s="94">
        <v>425.38</v>
      </c>
      <c r="F36" s="94"/>
      <c r="G36" s="94"/>
      <c r="H36" s="94"/>
      <c r="I36" s="94"/>
      <c r="J36" s="94"/>
      <c r="K36" s="94"/>
      <c r="L36" s="94"/>
      <c r="M36" s="94"/>
      <c r="N36" s="94">
        <v>425.38</v>
      </c>
    </row>
    <row r="37" spans="1:14" x14ac:dyDescent="0.3">
      <c r="A37" s="34" t="s">
        <v>195</v>
      </c>
      <c r="B37" s="94">
        <v>400</v>
      </c>
      <c r="C37" s="94">
        <v>644.28</v>
      </c>
      <c r="D37" s="94">
        <v>644.28</v>
      </c>
      <c r="E37" s="94">
        <v>644.28</v>
      </c>
      <c r="F37" s="94">
        <v>644.28</v>
      </c>
      <c r="G37" s="94"/>
      <c r="H37" s="94"/>
      <c r="I37" s="94"/>
      <c r="J37" s="94"/>
      <c r="K37" s="94"/>
      <c r="L37" s="94"/>
      <c r="M37" s="94"/>
      <c r="N37" s="94">
        <v>2977.12</v>
      </c>
    </row>
    <row r="38" spans="1:14" x14ac:dyDescent="0.3">
      <c r="A38" s="34" t="s">
        <v>225</v>
      </c>
      <c r="B38" s="94"/>
      <c r="C38" s="94"/>
      <c r="D38" s="94"/>
      <c r="E38" s="94">
        <v>100</v>
      </c>
      <c r="F38" s="94"/>
      <c r="G38" s="94"/>
      <c r="H38" s="94"/>
      <c r="I38" s="94"/>
      <c r="J38" s="94"/>
      <c r="K38" s="94"/>
      <c r="L38" s="94"/>
      <c r="M38" s="94"/>
      <c r="N38" s="94">
        <v>100</v>
      </c>
    </row>
    <row r="39" spans="1:14" x14ac:dyDescent="0.3">
      <c r="A39" s="34" t="s">
        <v>50</v>
      </c>
      <c r="B39" s="94">
        <v>1000</v>
      </c>
      <c r="C39" s="94">
        <v>1000</v>
      </c>
      <c r="D39" s="94">
        <v>1000</v>
      </c>
      <c r="E39" s="94">
        <v>1000</v>
      </c>
      <c r="F39" s="94">
        <v>1000</v>
      </c>
      <c r="G39" s="94"/>
      <c r="H39" s="94"/>
      <c r="I39" s="94"/>
      <c r="J39" s="94"/>
      <c r="K39" s="94"/>
      <c r="L39" s="94"/>
      <c r="M39" s="94"/>
      <c r="N39" s="94">
        <v>5000</v>
      </c>
    </row>
    <row r="40" spans="1:14" x14ac:dyDescent="0.3">
      <c r="A40" s="34" t="s">
        <v>223</v>
      </c>
      <c r="B40" s="94">
        <v>46996.869999999995</v>
      </c>
      <c r="C40" s="94">
        <v>52631.499999999993</v>
      </c>
      <c r="D40" s="94">
        <v>11886.41</v>
      </c>
      <c r="E40" s="94">
        <v>14416.09</v>
      </c>
      <c r="F40" s="94">
        <v>21686.079999999998</v>
      </c>
      <c r="G40" s="94">
        <v>13272.88</v>
      </c>
      <c r="H40" s="94"/>
      <c r="I40" s="94"/>
      <c r="J40" s="94"/>
      <c r="K40" s="94"/>
      <c r="L40" s="94"/>
      <c r="M40" s="94"/>
      <c r="N40" s="94">
        <v>160889.82999999999</v>
      </c>
    </row>
    <row r="41" spans="1:14" x14ac:dyDescent="0.3">
      <c r="B41"/>
      <c r="C41"/>
      <c r="N41"/>
    </row>
    <row r="42" spans="1:14" x14ac:dyDescent="0.3">
      <c r="B42"/>
      <c r="C42"/>
    </row>
    <row r="43" spans="1:14" x14ac:dyDescent="0.3">
      <c r="B43"/>
      <c r="C43"/>
    </row>
    <row r="44" spans="1:14" x14ac:dyDescent="0.3">
      <c r="B44"/>
      <c r="C44"/>
    </row>
    <row r="45" spans="1:14" x14ac:dyDescent="0.3">
      <c r="B45"/>
      <c r="C45"/>
    </row>
    <row r="46" spans="1:14" x14ac:dyDescent="0.3">
      <c r="B46"/>
      <c r="C46"/>
    </row>
    <row r="47" spans="1:14" x14ac:dyDescent="0.3">
      <c r="B47"/>
      <c r="C47"/>
    </row>
    <row r="48" spans="1:14" x14ac:dyDescent="0.3">
      <c r="B48"/>
      <c r="C48"/>
    </row>
    <row r="49" spans="2:3" x14ac:dyDescent="0.3">
      <c r="B49"/>
      <c r="C49"/>
    </row>
    <row r="50" spans="2:3" x14ac:dyDescent="0.3">
      <c r="B50"/>
      <c r="C50"/>
    </row>
    <row r="51" spans="2:3" x14ac:dyDescent="0.3">
      <c r="B51"/>
      <c r="C51"/>
    </row>
    <row r="52" spans="2:3" x14ac:dyDescent="0.3">
      <c r="B52"/>
      <c r="C52"/>
    </row>
    <row r="53" spans="2:3" x14ac:dyDescent="0.3">
      <c r="B53"/>
      <c r="C53"/>
    </row>
    <row r="54" spans="2:3" x14ac:dyDescent="0.3">
      <c r="B54"/>
      <c r="C54"/>
    </row>
    <row r="55" spans="2:3" x14ac:dyDescent="0.3">
      <c r="B55"/>
      <c r="C55"/>
    </row>
    <row r="56" spans="2:3" x14ac:dyDescent="0.3">
      <c r="B56"/>
      <c r="C56"/>
    </row>
    <row r="57" spans="2:3" x14ac:dyDescent="0.3">
      <c r="B57"/>
      <c r="C57"/>
    </row>
    <row r="58" spans="2:3" x14ac:dyDescent="0.3">
      <c r="B58"/>
      <c r="C58"/>
    </row>
    <row r="59" spans="2:3" x14ac:dyDescent="0.3">
      <c r="B59"/>
      <c r="C59"/>
    </row>
    <row r="60" spans="2:3" x14ac:dyDescent="0.3">
      <c r="B60"/>
      <c r="C60"/>
    </row>
    <row r="61" spans="2:3" x14ac:dyDescent="0.3">
      <c r="B61"/>
      <c r="C61"/>
    </row>
    <row r="62" spans="2:3" x14ac:dyDescent="0.3">
      <c r="B62"/>
      <c r="C62"/>
    </row>
    <row r="63" spans="2:3" x14ac:dyDescent="0.3">
      <c r="B63"/>
      <c r="C63"/>
    </row>
    <row r="64" spans="2:3" x14ac:dyDescent="0.3">
      <c r="B64"/>
      <c r="C64"/>
    </row>
    <row r="65" spans="2:3" x14ac:dyDescent="0.3">
      <c r="B65"/>
      <c r="C65"/>
    </row>
    <row r="66" spans="2:3" x14ac:dyDescent="0.3">
      <c r="B66"/>
      <c r="C66"/>
    </row>
    <row r="67" spans="2:3" x14ac:dyDescent="0.3">
      <c r="B67"/>
      <c r="C67"/>
    </row>
    <row r="68" spans="2:3" x14ac:dyDescent="0.3">
      <c r="B68"/>
      <c r="C68"/>
    </row>
    <row r="69" spans="2:3" x14ac:dyDescent="0.3">
      <c r="B69"/>
      <c r="C69"/>
    </row>
    <row r="70" spans="2:3" x14ac:dyDescent="0.3">
      <c r="B70"/>
      <c r="C70"/>
    </row>
    <row r="71" spans="2:3" x14ac:dyDescent="0.3">
      <c r="B71"/>
      <c r="C71"/>
    </row>
    <row r="72" spans="2:3" x14ac:dyDescent="0.3">
      <c r="B72"/>
      <c r="C72"/>
    </row>
    <row r="73" spans="2:3" x14ac:dyDescent="0.3">
      <c r="B73"/>
      <c r="C73"/>
    </row>
    <row r="74" spans="2:3" x14ac:dyDescent="0.3">
      <c r="B74"/>
      <c r="C74"/>
    </row>
    <row r="75" spans="2:3" x14ac:dyDescent="0.3">
      <c r="B75"/>
      <c r="C75"/>
    </row>
    <row r="76" spans="2:3" x14ac:dyDescent="0.3">
      <c r="B76"/>
      <c r="C76"/>
    </row>
    <row r="77" spans="2:3" x14ac:dyDescent="0.3">
      <c r="B77"/>
      <c r="C77"/>
    </row>
    <row r="78" spans="2:3" x14ac:dyDescent="0.3">
      <c r="B78"/>
      <c r="C78"/>
    </row>
    <row r="79" spans="2:3" x14ac:dyDescent="0.3">
      <c r="B79"/>
      <c r="C79"/>
    </row>
    <row r="80" spans="2:3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  <row r="94" spans="2:3" x14ac:dyDescent="0.3">
      <c r="B94"/>
      <c r="C94"/>
    </row>
    <row r="95" spans="2:3" x14ac:dyDescent="0.3">
      <c r="B95"/>
      <c r="C95"/>
    </row>
    <row r="96" spans="2:3" x14ac:dyDescent="0.3">
      <c r="B96"/>
      <c r="C96"/>
    </row>
    <row r="97" spans="2:3" x14ac:dyDescent="0.3">
      <c r="B97"/>
      <c r="C97"/>
    </row>
    <row r="98" spans="2:3" x14ac:dyDescent="0.3">
      <c r="B98"/>
      <c r="C98"/>
    </row>
    <row r="99" spans="2:3" x14ac:dyDescent="0.3">
      <c r="B99"/>
      <c r="C99"/>
    </row>
    <row r="100" spans="2:3" x14ac:dyDescent="0.3">
      <c r="B100"/>
      <c r="C100"/>
    </row>
    <row r="101" spans="2:3" x14ac:dyDescent="0.3">
      <c r="B101"/>
      <c r="C101"/>
    </row>
    <row r="102" spans="2:3" x14ac:dyDescent="0.3">
      <c r="B102"/>
      <c r="C102"/>
    </row>
    <row r="103" spans="2:3" x14ac:dyDescent="0.3">
      <c r="B103"/>
      <c r="C103"/>
    </row>
    <row r="104" spans="2:3" x14ac:dyDescent="0.3">
      <c r="B104"/>
      <c r="C104"/>
    </row>
    <row r="105" spans="2:3" x14ac:dyDescent="0.3">
      <c r="B105"/>
      <c r="C105"/>
    </row>
    <row r="106" spans="2:3" x14ac:dyDescent="0.3">
      <c r="B106"/>
      <c r="C106"/>
    </row>
    <row r="107" spans="2:3" x14ac:dyDescent="0.3">
      <c r="B107"/>
      <c r="C107"/>
    </row>
    <row r="108" spans="2:3" x14ac:dyDescent="0.3">
      <c r="B108"/>
      <c r="C108"/>
    </row>
    <row r="109" spans="2:3" x14ac:dyDescent="0.3">
      <c r="B109"/>
      <c r="C109"/>
    </row>
    <row r="110" spans="2:3" x14ac:dyDescent="0.3">
      <c r="B110"/>
      <c r="C110"/>
    </row>
    <row r="111" spans="2:3" x14ac:dyDescent="0.3">
      <c r="B111"/>
      <c r="C111"/>
    </row>
    <row r="112" spans="2:3" x14ac:dyDescent="0.3">
      <c r="B112"/>
      <c r="C112"/>
    </row>
    <row r="113" spans="2:3" x14ac:dyDescent="0.3">
      <c r="B113"/>
      <c r="C113"/>
    </row>
    <row r="114" spans="2:3" x14ac:dyDescent="0.3">
      <c r="B114"/>
      <c r="C114"/>
    </row>
    <row r="115" spans="2:3" x14ac:dyDescent="0.3">
      <c r="B115"/>
      <c r="C115"/>
    </row>
    <row r="116" spans="2:3" x14ac:dyDescent="0.3">
      <c r="B116"/>
      <c r="C116"/>
    </row>
    <row r="117" spans="2:3" x14ac:dyDescent="0.3">
      <c r="B117"/>
      <c r="C117"/>
    </row>
    <row r="118" spans="2:3" x14ac:dyDescent="0.3">
      <c r="B118"/>
      <c r="C118"/>
    </row>
    <row r="119" spans="2:3" x14ac:dyDescent="0.3">
      <c r="B119"/>
      <c r="C119"/>
    </row>
    <row r="120" spans="2:3" x14ac:dyDescent="0.3">
      <c r="B120"/>
      <c r="C120"/>
    </row>
    <row r="121" spans="2:3" x14ac:dyDescent="0.3">
      <c r="B121"/>
      <c r="C121"/>
    </row>
    <row r="122" spans="2:3" x14ac:dyDescent="0.3">
      <c r="B122"/>
      <c r="C122"/>
    </row>
    <row r="123" spans="2:3" x14ac:dyDescent="0.3">
      <c r="B123"/>
      <c r="C123"/>
    </row>
    <row r="124" spans="2:3" x14ac:dyDescent="0.3">
      <c r="B124"/>
      <c r="C124"/>
    </row>
    <row r="125" spans="2:3" x14ac:dyDescent="0.3">
      <c r="B125"/>
      <c r="C125"/>
    </row>
    <row r="126" spans="2:3" x14ac:dyDescent="0.3">
      <c r="B126"/>
      <c r="C126"/>
    </row>
    <row r="127" spans="2:3" x14ac:dyDescent="0.3">
      <c r="B127"/>
      <c r="C127"/>
    </row>
    <row r="128" spans="2:3" x14ac:dyDescent="0.3">
      <c r="B128"/>
      <c r="C128"/>
    </row>
    <row r="129" spans="2:3" x14ac:dyDescent="0.3">
      <c r="B129"/>
      <c r="C129"/>
    </row>
    <row r="130" spans="2:3" x14ac:dyDescent="0.3">
      <c r="B130"/>
      <c r="C130"/>
    </row>
    <row r="131" spans="2:3" x14ac:dyDescent="0.3">
      <c r="B131"/>
      <c r="C131"/>
    </row>
    <row r="132" spans="2:3" x14ac:dyDescent="0.3">
      <c r="B132"/>
      <c r="C132"/>
    </row>
    <row r="133" spans="2:3" x14ac:dyDescent="0.3">
      <c r="B133"/>
      <c r="C133"/>
    </row>
    <row r="134" spans="2:3" x14ac:dyDescent="0.3">
      <c r="B134"/>
      <c r="C134"/>
    </row>
    <row r="135" spans="2:3" x14ac:dyDescent="0.3">
      <c r="B135"/>
      <c r="C135"/>
    </row>
    <row r="136" spans="2:3" x14ac:dyDescent="0.3">
      <c r="B136"/>
      <c r="C136"/>
    </row>
    <row r="137" spans="2:3" x14ac:dyDescent="0.3">
      <c r="B137"/>
      <c r="C137"/>
    </row>
    <row r="138" spans="2:3" x14ac:dyDescent="0.3">
      <c r="B138"/>
      <c r="C138"/>
    </row>
    <row r="139" spans="2:3" x14ac:dyDescent="0.3">
      <c r="B139"/>
      <c r="C139"/>
    </row>
    <row r="140" spans="2:3" x14ac:dyDescent="0.3">
      <c r="B140"/>
      <c r="C140"/>
    </row>
    <row r="141" spans="2:3" x14ac:dyDescent="0.3">
      <c r="B141"/>
      <c r="C141"/>
    </row>
    <row r="142" spans="2:3" x14ac:dyDescent="0.3">
      <c r="B142"/>
      <c r="C142"/>
    </row>
    <row r="143" spans="2:3" x14ac:dyDescent="0.3">
      <c r="B143"/>
      <c r="C143"/>
    </row>
    <row r="144" spans="2:3" x14ac:dyDescent="0.3">
      <c r="B144"/>
      <c r="C144"/>
    </row>
    <row r="145" spans="2:3" x14ac:dyDescent="0.3">
      <c r="B145"/>
      <c r="C145"/>
    </row>
    <row r="146" spans="2:3" x14ac:dyDescent="0.3">
      <c r="B146"/>
      <c r="C146"/>
    </row>
    <row r="147" spans="2:3" x14ac:dyDescent="0.3">
      <c r="B147"/>
      <c r="C147"/>
    </row>
    <row r="148" spans="2:3" x14ac:dyDescent="0.3">
      <c r="B148"/>
      <c r="C148"/>
    </row>
    <row r="149" spans="2:3" x14ac:dyDescent="0.3">
      <c r="B149"/>
      <c r="C149"/>
    </row>
    <row r="150" spans="2:3" x14ac:dyDescent="0.3">
      <c r="B150"/>
      <c r="C150"/>
    </row>
    <row r="151" spans="2:3" x14ac:dyDescent="0.3">
      <c r="B151"/>
      <c r="C151"/>
    </row>
    <row r="152" spans="2:3" x14ac:dyDescent="0.3">
      <c r="B152"/>
      <c r="C152"/>
    </row>
    <row r="153" spans="2:3" x14ac:dyDescent="0.3">
      <c r="B153"/>
      <c r="C153"/>
    </row>
    <row r="154" spans="2:3" x14ac:dyDescent="0.3">
      <c r="B154"/>
      <c r="C154"/>
    </row>
    <row r="155" spans="2:3" x14ac:dyDescent="0.3">
      <c r="B155"/>
      <c r="C155"/>
    </row>
    <row r="156" spans="2:3" x14ac:dyDescent="0.3">
      <c r="B156"/>
      <c r="C156"/>
    </row>
    <row r="157" spans="2:3" x14ac:dyDescent="0.3">
      <c r="B157"/>
      <c r="C157"/>
    </row>
    <row r="158" spans="2:3" x14ac:dyDescent="0.3">
      <c r="B158"/>
      <c r="C158"/>
    </row>
    <row r="159" spans="2:3" x14ac:dyDescent="0.3">
      <c r="B159"/>
      <c r="C159"/>
    </row>
    <row r="160" spans="2:3" x14ac:dyDescent="0.3">
      <c r="B160"/>
      <c r="C160"/>
    </row>
    <row r="161" spans="2:3" x14ac:dyDescent="0.3">
      <c r="B161"/>
      <c r="C161"/>
    </row>
    <row r="162" spans="2:3" x14ac:dyDescent="0.3">
      <c r="B162"/>
      <c r="C162"/>
    </row>
    <row r="163" spans="2:3" x14ac:dyDescent="0.3">
      <c r="B163"/>
      <c r="C163"/>
    </row>
    <row r="164" spans="2:3" x14ac:dyDescent="0.3">
      <c r="B164"/>
      <c r="C164"/>
    </row>
    <row r="165" spans="2:3" x14ac:dyDescent="0.3">
      <c r="B165"/>
      <c r="C165"/>
    </row>
    <row r="166" spans="2:3" x14ac:dyDescent="0.3">
      <c r="B166"/>
      <c r="C166"/>
    </row>
    <row r="167" spans="2:3" x14ac:dyDescent="0.3">
      <c r="B167"/>
      <c r="C167"/>
    </row>
    <row r="168" spans="2:3" x14ac:dyDescent="0.3">
      <c r="B168"/>
      <c r="C168"/>
    </row>
    <row r="169" spans="2:3" x14ac:dyDescent="0.3">
      <c r="B169"/>
      <c r="C169"/>
    </row>
    <row r="170" spans="2:3" x14ac:dyDescent="0.3">
      <c r="B170"/>
      <c r="C170"/>
    </row>
    <row r="171" spans="2:3" x14ac:dyDescent="0.3">
      <c r="B171"/>
      <c r="C171"/>
    </row>
    <row r="172" spans="2:3" x14ac:dyDescent="0.3">
      <c r="B172"/>
      <c r="C172"/>
    </row>
    <row r="173" spans="2:3" x14ac:dyDescent="0.3">
      <c r="B173"/>
      <c r="C173"/>
    </row>
    <row r="174" spans="2:3" x14ac:dyDescent="0.3">
      <c r="B174"/>
      <c r="C174"/>
    </row>
    <row r="175" spans="2:3" x14ac:dyDescent="0.3">
      <c r="B175"/>
      <c r="C175"/>
    </row>
    <row r="176" spans="2:3" x14ac:dyDescent="0.3">
      <c r="B176"/>
      <c r="C176"/>
    </row>
    <row r="177" spans="2:3" x14ac:dyDescent="0.3">
      <c r="B177"/>
      <c r="C177"/>
    </row>
    <row r="178" spans="2:3" x14ac:dyDescent="0.3">
      <c r="B178"/>
      <c r="C178"/>
    </row>
    <row r="179" spans="2:3" x14ac:dyDescent="0.3">
      <c r="B179"/>
      <c r="C179"/>
    </row>
    <row r="180" spans="2:3" x14ac:dyDescent="0.3">
      <c r="B180"/>
      <c r="C180"/>
    </row>
    <row r="181" spans="2:3" x14ac:dyDescent="0.3">
      <c r="B181"/>
      <c r="C181"/>
    </row>
    <row r="182" spans="2:3" x14ac:dyDescent="0.3">
      <c r="B182"/>
      <c r="C182"/>
    </row>
    <row r="183" spans="2:3" x14ac:dyDescent="0.3">
      <c r="B183"/>
      <c r="C183"/>
    </row>
    <row r="184" spans="2:3" x14ac:dyDescent="0.3">
      <c r="B184"/>
      <c r="C184"/>
    </row>
    <row r="185" spans="2:3" x14ac:dyDescent="0.3">
      <c r="B185"/>
      <c r="C185"/>
    </row>
    <row r="186" spans="2:3" x14ac:dyDescent="0.3">
      <c r="B186"/>
      <c r="C186"/>
    </row>
    <row r="187" spans="2:3" x14ac:dyDescent="0.3">
      <c r="B187"/>
      <c r="C187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D4F6-8E9C-4724-99A2-84DA3AD1BE1F}">
  <dimension ref="A1:AB24"/>
  <sheetViews>
    <sheetView showGridLines="0" topLeftCell="A3" zoomScaleNormal="100" workbookViewId="0">
      <selection activeCell="I13" sqref="I13"/>
    </sheetView>
  </sheetViews>
  <sheetFormatPr defaultRowHeight="14.4" x14ac:dyDescent="0.3"/>
  <cols>
    <col min="1" max="1" width="19.109375" style="64" bestFit="1" customWidth="1"/>
    <col min="2" max="2" width="9.33203125" style="2" customWidth="1"/>
    <col min="3" max="3" width="9.5546875" style="2" bestFit="1" customWidth="1"/>
    <col min="4" max="4" width="10.21875" style="64" bestFit="1" customWidth="1"/>
    <col min="5" max="5" width="10.44140625" style="2" customWidth="1"/>
    <col min="6" max="6" width="9.33203125" style="64" customWidth="1"/>
    <col min="7" max="7" width="9.33203125" style="2" customWidth="1"/>
    <col min="8" max="8" width="9.44140625" style="64" customWidth="1"/>
    <col min="9" max="9" width="9.33203125" style="2" bestFit="1" customWidth="1"/>
    <col min="10" max="10" width="9.21875" style="64" customWidth="1"/>
    <col min="11" max="11" width="9.44140625" style="2" bestFit="1" customWidth="1"/>
    <col min="12" max="12" width="10.21875" style="64" bestFit="1" customWidth="1"/>
    <col min="13" max="13" width="9.44140625" style="2" bestFit="1" customWidth="1"/>
    <col min="14" max="14" width="8.88671875" style="64" customWidth="1"/>
    <col min="15" max="15" width="9.33203125" style="2" bestFit="1" customWidth="1"/>
    <col min="16" max="16" width="9.109375" style="64" customWidth="1"/>
    <col min="17" max="17" width="9.33203125" style="2" bestFit="1" customWidth="1"/>
    <col min="18" max="18" width="9.33203125" style="64" customWidth="1"/>
    <col min="19" max="19" width="9.33203125" style="2" bestFit="1" customWidth="1"/>
    <col min="20" max="20" width="9.33203125" style="64" customWidth="1"/>
    <col min="21" max="21" width="9.33203125" style="2" bestFit="1" customWidth="1"/>
    <col min="22" max="22" width="9.33203125" style="64" customWidth="1"/>
    <col min="23" max="23" width="9.33203125" style="2" bestFit="1" customWidth="1"/>
    <col min="24" max="24" width="9.33203125" style="64" customWidth="1"/>
    <col min="25" max="25" width="9.33203125" style="2" bestFit="1" customWidth="1"/>
    <col min="26" max="26" width="9.33203125" style="64" customWidth="1"/>
    <col min="27" max="27" width="12.33203125" style="2" bestFit="1" customWidth="1"/>
    <col min="28" max="28" width="11.21875" style="64" bestFit="1" customWidth="1"/>
    <col min="29" max="16384" width="8.88671875" style="2"/>
  </cols>
  <sheetData>
    <row r="1" spans="1:28" ht="21" x14ac:dyDescent="0.4">
      <c r="A1" s="116" t="s">
        <v>118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7"/>
    </row>
    <row r="2" spans="1:28" x14ac:dyDescent="0.3">
      <c r="A2" s="55"/>
      <c r="B2" s="54"/>
      <c r="C2" s="54"/>
      <c r="D2" s="55"/>
      <c r="E2" s="54"/>
      <c r="F2" s="55"/>
      <c r="G2" s="54"/>
      <c r="H2" s="55"/>
      <c r="I2" s="54"/>
      <c r="J2" s="55"/>
      <c r="K2" s="54"/>
      <c r="L2" s="55"/>
      <c r="M2" s="54"/>
      <c r="N2" s="55"/>
      <c r="O2" s="54"/>
      <c r="P2" s="55"/>
      <c r="Q2" s="54"/>
      <c r="R2" s="55"/>
      <c r="S2" s="54"/>
      <c r="T2" s="55"/>
      <c r="U2" s="54"/>
      <c r="V2" s="55"/>
      <c r="W2" s="54"/>
      <c r="X2" s="55"/>
      <c r="Y2" s="54"/>
      <c r="Z2" s="55"/>
      <c r="AA2" s="54"/>
    </row>
    <row r="3" spans="1:28" x14ac:dyDescent="0.3">
      <c r="A3" s="55"/>
      <c r="B3" s="56" t="s">
        <v>159</v>
      </c>
      <c r="C3" s="56" t="s">
        <v>84</v>
      </c>
      <c r="D3" s="57" t="s">
        <v>85</v>
      </c>
      <c r="E3" s="56" t="s">
        <v>84</v>
      </c>
      <c r="F3" s="57" t="s">
        <v>85</v>
      </c>
      <c r="G3" s="56" t="s">
        <v>84</v>
      </c>
      <c r="H3" s="57" t="s">
        <v>85</v>
      </c>
      <c r="I3" s="56" t="s">
        <v>84</v>
      </c>
      <c r="J3" s="57" t="s">
        <v>85</v>
      </c>
      <c r="K3" s="56" t="s">
        <v>84</v>
      </c>
      <c r="L3" s="57" t="s">
        <v>85</v>
      </c>
      <c r="M3" s="56" t="s">
        <v>84</v>
      </c>
      <c r="N3" s="57" t="s">
        <v>85</v>
      </c>
      <c r="O3" s="56" t="s">
        <v>84</v>
      </c>
      <c r="P3" s="57" t="s">
        <v>85</v>
      </c>
      <c r="Q3" s="56" t="s">
        <v>84</v>
      </c>
      <c r="R3" s="57" t="s">
        <v>85</v>
      </c>
      <c r="S3" s="56" t="s">
        <v>84</v>
      </c>
      <c r="T3" s="57" t="s">
        <v>85</v>
      </c>
      <c r="U3" s="56" t="s">
        <v>84</v>
      </c>
      <c r="V3" s="57" t="s">
        <v>85</v>
      </c>
      <c r="W3" s="56" t="s">
        <v>84</v>
      </c>
      <c r="X3" s="57" t="s">
        <v>85</v>
      </c>
      <c r="Y3" s="56" t="s">
        <v>84</v>
      </c>
      <c r="Z3" s="57" t="s">
        <v>85</v>
      </c>
      <c r="AA3" s="56" t="s">
        <v>84</v>
      </c>
      <c r="AB3" s="57" t="s">
        <v>85</v>
      </c>
    </row>
    <row r="4" spans="1:28" x14ac:dyDescent="0.3">
      <c r="A4" s="59" t="s">
        <v>59</v>
      </c>
      <c r="B4" s="58"/>
      <c r="C4" s="81" t="s">
        <v>62</v>
      </c>
      <c r="D4" s="82"/>
      <c r="E4" s="81" t="s">
        <v>63</v>
      </c>
      <c r="F4" s="82"/>
      <c r="G4" s="81" t="s">
        <v>75</v>
      </c>
      <c r="H4" s="82"/>
      <c r="I4" s="81" t="s">
        <v>64</v>
      </c>
      <c r="J4" s="82"/>
      <c r="K4" s="81" t="s">
        <v>65</v>
      </c>
      <c r="L4" s="82"/>
      <c r="M4" s="81" t="s">
        <v>66</v>
      </c>
      <c r="N4" s="82"/>
      <c r="O4" s="81" t="s">
        <v>67</v>
      </c>
      <c r="P4" s="82"/>
      <c r="Q4" s="81" t="s">
        <v>68</v>
      </c>
      <c r="R4" s="82"/>
      <c r="S4" s="81" t="s">
        <v>69</v>
      </c>
      <c r="T4" s="82"/>
      <c r="U4" s="81" t="s">
        <v>70</v>
      </c>
      <c r="V4" s="82"/>
      <c r="W4" s="81" t="s">
        <v>71</v>
      </c>
      <c r="X4" s="82"/>
      <c r="Y4" s="81" t="s">
        <v>72</v>
      </c>
      <c r="Z4" s="82"/>
      <c r="AA4" s="58" t="s">
        <v>73</v>
      </c>
      <c r="AB4" s="59" t="s">
        <v>73</v>
      </c>
    </row>
    <row r="5" spans="1:28" x14ac:dyDescent="0.3">
      <c r="A5" s="63" t="s">
        <v>9</v>
      </c>
      <c r="B5" s="80">
        <v>1</v>
      </c>
      <c r="C5" s="60">
        <v>2000</v>
      </c>
      <c r="D5" s="55">
        <v>2000</v>
      </c>
      <c r="E5" s="60">
        <v>2000</v>
      </c>
      <c r="F5" s="55">
        <v>2000</v>
      </c>
      <c r="G5" s="67">
        <v>2000</v>
      </c>
      <c r="H5" s="55">
        <v>2000</v>
      </c>
      <c r="I5" s="60">
        <v>2000</v>
      </c>
      <c r="J5" s="55">
        <v>2212</v>
      </c>
      <c r="K5" s="60">
        <v>2000</v>
      </c>
      <c r="L5" s="55">
        <v>2212</v>
      </c>
      <c r="M5" s="79">
        <v>2000</v>
      </c>
      <c r="N5" s="55"/>
      <c r="O5" s="60">
        <v>2000</v>
      </c>
      <c r="P5" s="55"/>
      <c r="Q5" s="60">
        <v>2000</v>
      </c>
      <c r="R5" s="55"/>
      <c r="S5" s="60">
        <v>2000</v>
      </c>
      <c r="T5" s="55"/>
      <c r="U5" s="60">
        <v>2000</v>
      </c>
      <c r="V5" s="55"/>
      <c r="W5" s="60">
        <v>2000</v>
      </c>
      <c r="X5" s="55"/>
      <c r="Y5" s="60">
        <v>2000</v>
      </c>
      <c r="Z5" s="55"/>
      <c r="AA5" s="60">
        <f>SUM(C5+E5+G5+I5+K5+M5+O5+Q5+S5+U5+W5+Y5)</f>
        <v>24000</v>
      </c>
      <c r="AB5" s="65">
        <f>D5+F5+H5+J5+L5+N5+P5+R5+T5+V5+X5+Z5</f>
        <v>10424</v>
      </c>
    </row>
    <row r="6" spans="1:28" x14ac:dyDescent="0.3">
      <c r="A6" s="63" t="s">
        <v>156</v>
      </c>
      <c r="B6" s="80">
        <v>1</v>
      </c>
      <c r="C6" s="60">
        <v>136.56</v>
      </c>
      <c r="D6" s="55">
        <v>136.56</v>
      </c>
      <c r="E6" s="60">
        <v>136.56</v>
      </c>
      <c r="F6" s="55">
        <v>136.56</v>
      </c>
      <c r="G6" s="60">
        <v>136.56</v>
      </c>
      <c r="H6" s="55">
        <v>136.56</v>
      </c>
      <c r="I6" s="60">
        <v>136.56</v>
      </c>
      <c r="J6" s="55"/>
      <c r="K6" s="60">
        <v>136.56</v>
      </c>
      <c r="L6" s="55"/>
      <c r="M6" s="79">
        <v>136.56</v>
      </c>
      <c r="N6" s="55"/>
      <c r="O6" s="60">
        <v>136.56</v>
      </c>
      <c r="P6" s="55"/>
      <c r="Q6" s="60">
        <v>136.56</v>
      </c>
      <c r="R6" s="55"/>
      <c r="S6" s="60">
        <v>136.56</v>
      </c>
      <c r="T6" s="55"/>
      <c r="U6" s="60">
        <v>136.56</v>
      </c>
      <c r="V6" s="55"/>
      <c r="W6" s="60">
        <v>136.56</v>
      </c>
      <c r="X6" s="55"/>
      <c r="Y6" s="60">
        <v>136.56</v>
      </c>
      <c r="Z6" s="55"/>
      <c r="AA6" s="60">
        <f>SUM(C6+E6+G6+I6+K6+M6+O6+Q6+S6+U6+W6+Y6)</f>
        <v>1638.7199999999996</v>
      </c>
      <c r="AB6" s="65"/>
    </row>
    <row r="7" spans="1:28" x14ac:dyDescent="0.3">
      <c r="A7" s="63" t="s">
        <v>155</v>
      </c>
      <c r="B7" s="80">
        <v>1</v>
      </c>
      <c r="C7" s="60">
        <v>86.31</v>
      </c>
      <c r="D7" s="55">
        <v>86.31</v>
      </c>
      <c r="E7" s="60">
        <v>86.31</v>
      </c>
      <c r="F7" s="55">
        <v>86.31</v>
      </c>
      <c r="G7" s="60">
        <v>86.31</v>
      </c>
      <c r="H7" s="55">
        <v>86.31</v>
      </c>
      <c r="I7" s="60">
        <v>86.31</v>
      </c>
      <c r="J7" s="55"/>
      <c r="K7" s="60">
        <v>86.31</v>
      </c>
      <c r="L7" s="55"/>
      <c r="M7" s="79">
        <v>86.31</v>
      </c>
      <c r="N7" s="55"/>
      <c r="O7" s="60">
        <v>86.31</v>
      </c>
      <c r="P7" s="55"/>
      <c r="Q7" s="60">
        <v>86.31</v>
      </c>
      <c r="R7" s="55"/>
      <c r="S7" s="60">
        <v>86.31</v>
      </c>
      <c r="T7" s="55"/>
      <c r="U7" s="60">
        <v>86.31</v>
      </c>
      <c r="V7" s="55"/>
      <c r="W7" s="60">
        <v>86.31</v>
      </c>
      <c r="X7" s="55"/>
      <c r="Y7" s="60">
        <v>86.31</v>
      </c>
      <c r="Z7" s="55"/>
      <c r="AA7" s="60">
        <f t="shared" ref="AA7" si="0">SUM(C7+E7+G7+I7+K7+M7+O7+Q7+S7+U7+W7+Y7)</f>
        <v>1035.7199999999998</v>
      </c>
      <c r="AB7" s="65"/>
    </row>
    <row r="8" spans="1:28" x14ac:dyDescent="0.3">
      <c r="A8" s="63" t="s">
        <v>54</v>
      </c>
      <c r="B8" s="80">
        <v>4</v>
      </c>
      <c r="C8" s="60">
        <v>106.57</v>
      </c>
      <c r="D8" s="55">
        <v>153.26</v>
      </c>
      <c r="E8" s="60">
        <v>153.26</v>
      </c>
      <c r="F8" s="55">
        <v>153.26</v>
      </c>
      <c r="G8" s="60">
        <v>153.26</v>
      </c>
      <c r="H8" s="55">
        <v>153.26</v>
      </c>
      <c r="I8" s="60">
        <v>153.26</v>
      </c>
      <c r="J8" s="55"/>
      <c r="K8" s="60">
        <v>153.26</v>
      </c>
      <c r="L8" s="55"/>
      <c r="M8" s="79">
        <v>153.26</v>
      </c>
      <c r="N8" s="55"/>
      <c r="O8" s="60">
        <v>153.26</v>
      </c>
      <c r="P8" s="55"/>
      <c r="Q8" s="60">
        <v>153.26</v>
      </c>
      <c r="R8" s="55"/>
      <c r="S8" s="60">
        <v>153.26</v>
      </c>
      <c r="T8" s="55"/>
      <c r="U8" s="60">
        <v>153.26</v>
      </c>
      <c r="V8" s="55"/>
      <c r="W8" s="60">
        <v>153.26</v>
      </c>
      <c r="X8" s="55"/>
      <c r="Y8" s="60">
        <v>153.26</v>
      </c>
      <c r="Z8" s="55"/>
      <c r="AA8" s="60">
        <f t="shared" ref="AA8:AA18" si="1">SUM(C8+E8+G8+I8+K8+M8+O8+Q8+S8+U8+W8+Y8)</f>
        <v>1792.4299999999998</v>
      </c>
      <c r="AB8" s="65">
        <f t="shared" ref="AB8:AB13" si="2">D8+F8+H8+J8+L8+N8+P8+R8+T8+V8+X8+Z8</f>
        <v>459.78</v>
      </c>
    </row>
    <row r="9" spans="1:28" x14ac:dyDescent="0.3">
      <c r="A9" s="63" t="s">
        <v>51</v>
      </c>
      <c r="B9" s="80">
        <v>5</v>
      </c>
      <c r="C9" s="60">
        <v>1580</v>
      </c>
      <c r="D9" s="55">
        <v>1580</v>
      </c>
      <c r="E9" s="60">
        <v>1580</v>
      </c>
      <c r="F9" s="55">
        <v>1580</v>
      </c>
      <c r="G9" s="60">
        <v>1580</v>
      </c>
      <c r="H9" s="55">
        <v>1580</v>
      </c>
      <c r="I9" s="60">
        <v>1580</v>
      </c>
      <c r="J9" s="55"/>
      <c r="K9" s="60">
        <v>1580</v>
      </c>
      <c r="L9" s="55"/>
      <c r="M9" s="79">
        <v>1580</v>
      </c>
      <c r="N9" s="55"/>
      <c r="O9" s="60">
        <v>1580</v>
      </c>
      <c r="P9" s="55"/>
      <c r="Q9" s="60">
        <v>1580</v>
      </c>
      <c r="R9" s="55"/>
      <c r="S9" s="60">
        <v>1580</v>
      </c>
      <c r="T9" s="55"/>
      <c r="U9" s="60">
        <v>1580</v>
      </c>
      <c r="V9" s="55"/>
      <c r="W9" s="60">
        <v>1580</v>
      </c>
      <c r="X9" s="55"/>
      <c r="Y9" s="60">
        <v>1580</v>
      </c>
      <c r="Z9" s="55"/>
      <c r="AA9" s="60">
        <f t="shared" si="1"/>
        <v>18960</v>
      </c>
      <c r="AB9" s="65">
        <f t="shared" si="2"/>
        <v>4740</v>
      </c>
    </row>
    <row r="10" spans="1:28" x14ac:dyDescent="0.3">
      <c r="A10" s="63" t="s">
        <v>55</v>
      </c>
      <c r="B10" s="80">
        <v>17</v>
      </c>
      <c r="C10" s="60">
        <v>941.6</v>
      </c>
      <c r="D10" s="55">
        <v>941.6</v>
      </c>
      <c r="E10" s="60">
        <v>941.6</v>
      </c>
      <c r="F10" s="55">
        <v>941.6</v>
      </c>
      <c r="G10" s="60">
        <v>941.6</v>
      </c>
      <c r="H10" s="55">
        <v>941.6</v>
      </c>
      <c r="I10" s="60">
        <v>941.6</v>
      </c>
      <c r="J10" s="55"/>
      <c r="K10" s="60">
        <v>941.6</v>
      </c>
      <c r="L10" s="55"/>
      <c r="M10" s="79">
        <v>941.6</v>
      </c>
      <c r="N10" s="55"/>
      <c r="O10" s="60">
        <v>941.6</v>
      </c>
      <c r="P10" s="55"/>
      <c r="Q10" s="60">
        <v>0</v>
      </c>
      <c r="R10" s="55"/>
      <c r="S10" s="60">
        <v>0</v>
      </c>
      <c r="T10" s="55"/>
      <c r="U10" s="60">
        <v>0</v>
      </c>
      <c r="V10" s="55"/>
      <c r="W10" s="60">
        <v>0</v>
      </c>
      <c r="X10" s="55"/>
      <c r="Y10" s="60">
        <v>0</v>
      </c>
      <c r="Z10" s="55"/>
      <c r="AA10" s="60">
        <f t="shared" si="1"/>
        <v>6591.2000000000007</v>
      </c>
      <c r="AB10" s="65">
        <f t="shared" si="2"/>
        <v>2824.8</v>
      </c>
    </row>
    <row r="11" spans="1:28" x14ac:dyDescent="0.3">
      <c r="A11" s="63" t="s">
        <v>53</v>
      </c>
      <c r="B11" s="80">
        <v>10</v>
      </c>
      <c r="C11" s="60">
        <v>300</v>
      </c>
      <c r="D11" s="55">
        <v>251.55</v>
      </c>
      <c r="E11" s="60">
        <v>300</v>
      </c>
      <c r="F11" s="64">
        <v>223.23</v>
      </c>
      <c r="G11" s="60">
        <v>300</v>
      </c>
      <c r="H11" s="55">
        <v>186.16</v>
      </c>
      <c r="I11" s="60">
        <v>300</v>
      </c>
      <c r="J11" s="55"/>
      <c r="K11" s="60">
        <v>300</v>
      </c>
      <c r="L11" s="55"/>
      <c r="M11" s="60">
        <v>300</v>
      </c>
      <c r="N11" s="55"/>
      <c r="O11" s="60">
        <v>300</v>
      </c>
      <c r="P11" s="55"/>
      <c r="Q11" s="60">
        <v>300</v>
      </c>
      <c r="R11" s="55"/>
      <c r="S11" s="60">
        <v>300</v>
      </c>
      <c r="T11" s="55"/>
      <c r="U11" s="60">
        <v>300</v>
      </c>
      <c r="V11" s="55"/>
      <c r="W11" s="60">
        <v>300</v>
      </c>
      <c r="X11" s="55"/>
      <c r="Y11" s="60">
        <v>300</v>
      </c>
      <c r="Z11" s="55"/>
      <c r="AA11" s="60">
        <f t="shared" si="1"/>
        <v>3600</v>
      </c>
      <c r="AB11" s="65">
        <f t="shared" si="2"/>
        <v>660.93999999999994</v>
      </c>
    </row>
    <row r="12" spans="1:28" x14ac:dyDescent="0.3">
      <c r="A12" s="63" t="s">
        <v>158</v>
      </c>
      <c r="B12" s="80">
        <v>10</v>
      </c>
      <c r="C12" s="60">
        <v>350</v>
      </c>
      <c r="D12" s="55"/>
      <c r="E12" s="60">
        <v>350</v>
      </c>
      <c r="F12" s="55"/>
      <c r="G12" s="60">
        <v>350</v>
      </c>
      <c r="H12" s="55"/>
      <c r="I12" s="60">
        <v>350</v>
      </c>
      <c r="J12" s="55">
        <v>425.38</v>
      </c>
      <c r="K12" s="60">
        <v>425.38</v>
      </c>
      <c r="L12" s="55"/>
      <c r="M12" s="60">
        <v>425.38</v>
      </c>
      <c r="N12" s="55"/>
      <c r="O12" s="60">
        <v>350</v>
      </c>
      <c r="P12" s="55"/>
      <c r="Q12" s="60">
        <v>350</v>
      </c>
      <c r="R12" s="55"/>
      <c r="S12" s="60">
        <v>350</v>
      </c>
      <c r="T12" s="55"/>
      <c r="U12" s="60">
        <v>350</v>
      </c>
      <c r="V12" s="55"/>
      <c r="W12" s="60">
        <v>350</v>
      </c>
      <c r="X12" s="55"/>
      <c r="Y12" s="60">
        <v>350</v>
      </c>
      <c r="Z12" s="55"/>
      <c r="AA12" s="60">
        <f t="shared" si="1"/>
        <v>4350.76</v>
      </c>
      <c r="AB12" s="65">
        <f t="shared" si="2"/>
        <v>425.38</v>
      </c>
    </row>
    <row r="13" spans="1:28" x14ac:dyDescent="0.3">
      <c r="A13" s="63" t="s">
        <v>56</v>
      </c>
      <c r="B13" s="80">
        <v>15</v>
      </c>
      <c r="C13" s="60">
        <v>0</v>
      </c>
      <c r="D13" s="55">
        <v>0</v>
      </c>
      <c r="E13" s="60">
        <v>0</v>
      </c>
      <c r="F13" s="55">
        <v>0</v>
      </c>
      <c r="G13" s="60">
        <v>310.24</v>
      </c>
      <c r="H13" s="55">
        <v>310.24</v>
      </c>
      <c r="I13" s="60">
        <v>295.11</v>
      </c>
      <c r="J13" s="55"/>
      <c r="K13" s="60">
        <v>295.11</v>
      </c>
      <c r="L13" s="55"/>
      <c r="M13" s="60">
        <v>295.11</v>
      </c>
      <c r="N13" s="55"/>
      <c r="O13" s="60">
        <v>295.11</v>
      </c>
      <c r="P13" s="55"/>
      <c r="Q13" s="60">
        <v>295.11</v>
      </c>
      <c r="R13" s="55"/>
      <c r="S13" s="60">
        <v>295.11</v>
      </c>
      <c r="T13" s="55"/>
      <c r="U13" s="60">
        <v>295.11</v>
      </c>
      <c r="V13" s="55"/>
      <c r="W13" s="60">
        <v>295.11</v>
      </c>
      <c r="X13" s="55"/>
      <c r="Y13" s="60">
        <v>295.11</v>
      </c>
      <c r="Z13" s="55"/>
      <c r="AA13" s="60">
        <f t="shared" si="1"/>
        <v>2966.2300000000009</v>
      </c>
      <c r="AB13" s="65">
        <f t="shared" si="2"/>
        <v>310.24</v>
      </c>
    </row>
    <row r="14" spans="1:28" x14ac:dyDescent="0.3">
      <c r="A14" s="63" t="s">
        <v>157</v>
      </c>
      <c r="B14" s="80">
        <v>15</v>
      </c>
      <c r="C14" s="60">
        <v>644.28</v>
      </c>
      <c r="D14" s="55">
        <v>644.28</v>
      </c>
      <c r="E14" s="60">
        <v>644.28</v>
      </c>
      <c r="F14" s="55">
        <v>644.28</v>
      </c>
      <c r="G14" s="60">
        <v>644.28</v>
      </c>
      <c r="H14" s="55">
        <v>644.28</v>
      </c>
      <c r="I14" s="60">
        <v>644.28</v>
      </c>
      <c r="J14" s="55"/>
      <c r="K14" s="60">
        <v>644.28</v>
      </c>
      <c r="L14" s="55"/>
      <c r="M14" s="60">
        <v>644.28</v>
      </c>
      <c r="N14" s="55"/>
      <c r="O14" s="60">
        <v>644.28</v>
      </c>
      <c r="P14" s="55"/>
      <c r="Q14" s="60">
        <v>644.28</v>
      </c>
      <c r="R14" s="55"/>
      <c r="S14" s="60">
        <v>644.28</v>
      </c>
      <c r="T14" s="55"/>
      <c r="U14" s="60">
        <v>644.28</v>
      </c>
      <c r="V14" s="55"/>
      <c r="W14" s="60">
        <v>644.28</v>
      </c>
      <c r="X14" s="55"/>
      <c r="Y14" s="60">
        <v>644.28</v>
      </c>
      <c r="Z14" s="55"/>
      <c r="AA14" s="60">
        <f t="shared" si="1"/>
        <v>7731.3599999999979</v>
      </c>
      <c r="AB14" s="65"/>
    </row>
    <row r="15" spans="1:28" x14ac:dyDescent="0.3">
      <c r="A15" s="63" t="s">
        <v>18</v>
      </c>
      <c r="B15" s="80">
        <v>20</v>
      </c>
      <c r="C15" s="60">
        <v>1400</v>
      </c>
      <c r="D15" s="55">
        <v>1691.83</v>
      </c>
      <c r="E15" s="60">
        <v>1400</v>
      </c>
      <c r="F15" s="55">
        <v>1185.95</v>
      </c>
      <c r="G15" s="60">
        <v>1400</v>
      </c>
      <c r="H15" s="55">
        <v>1448</v>
      </c>
      <c r="I15" s="60">
        <v>1400</v>
      </c>
      <c r="J15" s="55"/>
      <c r="K15" s="60">
        <v>1400</v>
      </c>
      <c r="L15" s="55">
        <v>432.96</v>
      </c>
      <c r="M15" s="79">
        <v>1400</v>
      </c>
      <c r="N15" s="55"/>
      <c r="O15" s="60">
        <v>1400</v>
      </c>
      <c r="P15" s="55"/>
      <c r="Q15" s="60">
        <v>1400</v>
      </c>
      <c r="R15" s="55"/>
      <c r="S15" s="60">
        <v>1400</v>
      </c>
      <c r="T15" s="55"/>
      <c r="U15" s="60">
        <v>1400</v>
      </c>
      <c r="V15" s="55"/>
      <c r="W15" s="60">
        <v>1400</v>
      </c>
      <c r="X15" s="55"/>
      <c r="Y15" s="60">
        <v>1400</v>
      </c>
      <c r="Z15" s="55"/>
      <c r="AA15" s="60">
        <f t="shared" si="1"/>
        <v>16800</v>
      </c>
      <c r="AB15" s="65">
        <f>D15+F15+H15+J15+L15+N15+P15+R15+T15+V15+X15+Z15</f>
        <v>4758.74</v>
      </c>
    </row>
    <row r="16" spans="1:28" x14ac:dyDescent="0.3">
      <c r="A16" s="63" t="s">
        <v>57</v>
      </c>
      <c r="B16" s="80">
        <v>30</v>
      </c>
      <c r="C16" s="60">
        <v>485.76</v>
      </c>
      <c r="D16" s="55">
        <v>485.76</v>
      </c>
      <c r="E16" s="60">
        <v>485.76</v>
      </c>
      <c r="F16" s="55">
        <v>496.26</v>
      </c>
      <c r="G16" s="60">
        <v>485.76</v>
      </c>
      <c r="H16" s="55"/>
      <c r="I16" s="60">
        <v>485.76</v>
      </c>
      <c r="J16" s="55"/>
      <c r="K16" s="60">
        <v>485.76</v>
      </c>
      <c r="L16" s="55"/>
      <c r="M16" s="60">
        <v>485.76</v>
      </c>
      <c r="N16" s="55"/>
      <c r="O16" s="60">
        <v>485.76</v>
      </c>
      <c r="P16" s="55"/>
      <c r="Q16" s="60">
        <v>485.76</v>
      </c>
      <c r="R16" s="55"/>
      <c r="S16" s="60">
        <v>485.76</v>
      </c>
      <c r="T16" s="55"/>
      <c r="U16" s="60">
        <v>485.76</v>
      </c>
      <c r="V16" s="55"/>
      <c r="W16" s="60">
        <v>485.76</v>
      </c>
      <c r="X16" s="55"/>
      <c r="Y16" s="60">
        <v>485.76</v>
      </c>
      <c r="Z16" s="55"/>
      <c r="AA16" s="60">
        <f t="shared" si="1"/>
        <v>5829.1200000000017</v>
      </c>
      <c r="AB16" s="65">
        <f>D16+F16+H16+J16+L16+N16+P16+R16+T16+V16+X16+Z16</f>
        <v>982.02</v>
      </c>
    </row>
    <row r="17" spans="1:28" x14ac:dyDescent="0.3">
      <c r="A17" s="63" t="s">
        <v>50</v>
      </c>
      <c r="B17" s="80">
        <v>30</v>
      </c>
      <c r="C17" s="60">
        <v>1000</v>
      </c>
      <c r="D17" s="55">
        <v>1000</v>
      </c>
      <c r="E17" s="60">
        <v>1000</v>
      </c>
      <c r="F17" s="55">
        <v>2000</v>
      </c>
      <c r="G17" s="60">
        <v>1000</v>
      </c>
      <c r="H17" s="55"/>
      <c r="I17" s="60">
        <v>1000</v>
      </c>
      <c r="J17" s="55"/>
      <c r="K17" s="60">
        <v>1000</v>
      </c>
      <c r="L17" s="55"/>
      <c r="M17" s="60">
        <v>1000</v>
      </c>
      <c r="N17" s="55"/>
      <c r="O17" s="60">
        <v>1000</v>
      </c>
      <c r="P17" s="55"/>
      <c r="Q17" s="60">
        <v>1000</v>
      </c>
      <c r="R17" s="55"/>
      <c r="S17" s="60">
        <v>1000</v>
      </c>
      <c r="T17" s="55"/>
      <c r="U17" s="60">
        <v>1000</v>
      </c>
      <c r="V17" s="55"/>
      <c r="W17" s="60">
        <v>1000</v>
      </c>
      <c r="X17" s="55"/>
      <c r="Y17" s="60">
        <v>1000</v>
      </c>
      <c r="Z17" s="55"/>
      <c r="AA17" s="60">
        <f t="shared" si="1"/>
        <v>12000</v>
      </c>
      <c r="AB17" s="65">
        <f>D17+F17+H17+J17+L17+N17+P17+R17+T17+V17+X17+Z17</f>
        <v>3000</v>
      </c>
    </row>
    <row r="18" spans="1:28" x14ac:dyDescent="0.3">
      <c r="A18" s="63" t="s">
        <v>154</v>
      </c>
      <c r="B18" s="80">
        <v>30</v>
      </c>
      <c r="C18" s="60"/>
      <c r="D18" s="55"/>
      <c r="E18" s="60"/>
      <c r="F18" s="55"/>
      <c r="G18" s="60"/>
      <c r="H18" s="55"/>
      <c r="I18" s="60">
        <v>100</v>
      </c>
      <c r="J18" s="55">
        <v>100</v>
      </c>
      <c r="K18" s="60">
        <v>100</v>
      </c>
      <c r="L18" s="55"/>
      <c r="M18" s="60">
        <v>100</v>
      </c>
      <c r="N18" s="55"/>
      <c r="O18" s="60">
        <v>100</v>
      </c>
      <c r="P18" s="55"/>
      <c r="Q18" s="60">
        <v>100</v>
      </c>
      <c r="R18" s="55"/>
      <c r="S18" s="60">
        <v>100</v>
      </c>
      <c r="T18" s="55"/>
      <c r="U18" s="60">
        <v>100</v>
      </c>
      <c r="V18" s="55"/>
      <c r="W18" s="60">
        <v>100</v>
      </c>
      <c r="X18" s="55"/>
      <c r="Y18" s="60">
        <v>100</v>
      </c>
      <c r="Z18" s="55"/>
      <c r="AA18" s="60">
        <f t="shared" si="1"/>
        <v>900</v>
      </c>
      <c r="AB18" s="65"/>
    </row>
    <row r="19" spans="1:28" x14ac:dyDescent="0.3">
      <c r="A19" s="63" t="s">
        <v>74</v>
      </c>
      <c r="B19" s="80"/>
      <c r="C19" s="60">
        <v>0</v>
      </c>
      <c r="D19" s="55">
        <v>0</v>
      </c>
      <c r="E19" s="60">
        <v>200</v>
      </c>
      <c r="F19" s="55">
        <v>182.92</v>
      </c>
      <c r="G19" s="60">
        <v>0</v>
      </c>
      <c r="H19" s="55"/>
      <c r="I19" s="60">
        <v>0</v>
      </c>
      <c r="J19" s="55"/>
      <c r="K19" s="60">
        <v>0</v>
      </c>
      <c r="L19" s="55"/>
      <c r="M19" s="60">
        <v>0</v>
      </c>
      <c r="N19" s="55"/>
      <c r="O19" s="60" t="s">
        <v>105</v>
      </c>
      <c r="P19" s="55"/>
      <c r="Q19" s="60" t="s">
        <v>105</v>
      </c>
      <c r="R19" s="55"/>
      <c r="S19" s="60" t="s">
        <v>105</v>
      </c>
      <c r="T19" s="55"/>
      <c r="U19" s="60" t="s">
        <v>105</v>
      </c>
      <c r="V19" s="55"/>
      <c r="W19" s="60">
        <v>0</v>
      </c>
      <c r="X19" s="55"/>
      <c r="Y19" s="60">
        <v>0</v>
      </c>
      <c r="Z19" s="55"/>
      <c r="AA19" s="60">
        <f>C19+E19</f>
        <v>200</v>
      </c>
      <c r="AB19" s="65">
        <f>D19+F19+H19+J19+L19+N19+P19+R19+T19+V19+X19+Z19</f>
        <v>182.92</v>
      </c>
    </row>
    <row r="20" spans="1:28" x14ac:dyDescent="0.3">
      <c r="A20" s="63" t="s">
        <v>119</v>
      </c>
      <c r="B20" s="80"/>
      <c r="C20" s="60"/>
      <c r="D20" s="55"/>
      <c r="E20" s="60"/>
      <c r="F20" s="55"/>
      <c r="G20" s="60"/>
      <c r="H20" s="55"/>
      <c r="I20" s="60"/>
      <c r="J20" s="55"/>
      <c r="K20" s="60"/>
      <c r="L20" s="55"/>
      <c r="M20" s="60"/>
      <c r="N20" s="55"/>
      <c r="O20" s="60"/>
      <c r="P20" s="55"/>
      <c r="Q20" s="60"/>
      <c r="R20" s="55"/>
      <c r="S20" s="60"/>
      <c r="T20" s="55"/>
      <c r="U20" s="60"/>
      <c r="V20" s="55"/>
      <c r="W20" s="60"/>
      <c r="X20" s="55"/>
      <c r="Y20" s="60"/>
      <c r="Z20" s="55"/>
      <c r="AA20" s="60">
        <f t="shared" ref="AA20:AA23" si="3">SUM(C20+E20+G20+I20+K20+M20+O20+Q20+S20+U20+W20+Y20)</f>
        <v>0</v>
      </c>
      <c r="AB20" s="65"/>
    </row>
    <row r="21" spans="1:28" x14ac:dyDescent="0.3">
      <c r="A21" s="63" t="s">
        <v>120</v>
      </c>
      <c r="B21" s="80"/>
      <c r="C21" s="60"/>
      <c r="D21" s="55"/>
      <c r="E21" s="60"/>
      <c r="F21" s="55"/>
      <c r="G21" s="60"/>
      <c r="H21" s="55"/>
      <c r="I21" s="60"/>
      <c r="J21" s="55"/>
      <c r="K21" s="60"/>
      <c r="L21" s="55"/>
      <c r="M21" s="60"/>
      <c r="N21" s="55"/>
      <c r="O21" s="60"/>
      <c r="P21" s="55"/>
      <c r="Q21" s="60"/>
      <c r="R21" s="55"/>
      <c r="S21" s="60"/>
      <c r="T21" s="55"/>
      <c r="U21" s="60"/>
      <c r="V21" s="55"/>
      <c r="W21" s="60"/>
      <c r="X21" s="55"/>
      <c r="Y21" s="60"/>
      <c r="Z21" s="55"/>
      <c r="AA21" s="60">
        <f t="shared" si="3"/>
        <v>0</v>
      </c>
      <c r="AB21" s="65"/>
    </row>
    <row r="22" spans="1:28" x14ac:dyDescent="0.3">
      <c r="A22" s="63" t="s">
        <v>122</v>
      </c>
      <c r="B22" s="80"/>
      <c r="C22" s="60"/>
      <c r="D22" s="55"/>
      <c r="E22" s="60"/>
      <c r="F22" s="55"/>
      <c r="G22" s="60"/>
      <c r="H22" s="55"/>
      <c r="I22" s="60"/>
      <c r="J22" s="55"/>
      <c r="K22" s="60"/>
      <c r="L22" s="55"/>
      <c r="M22" s="60"/>
      <c r="N22" s="55"/>
      <c r="O22" s="60"/>
      <c r="P22" s="55"/>
      <c r="Q22" s="60"/>
      <c r="R22" s="55"/>
      <c r="S22" s="60"/>
      <c r="T22" s="55"/>
      <c r="U22" s="60"/>
      <c r="V22" s="55"/>
      <c r="W22" s="60"/>
      <c r="X22" s="55"/>
      <c r="Y22" s="60"/>
      <c r="Z22" s="55"/>
      <c r="AA22" s="60">
        <f t="shared" si="3"/>
        <v>0</v>
      </c>
      <c r="AB22" s="65"/>
    </row>
    <row r="23" spans="1:28" x14ac:dyDescent="0.3">
      <c r="A23" s="63" t="s">
        <v>121</v>
      </c>
      <c r="B23" s="80"/>
      <c r="C23" s="60"/>
      <c r="D23" s="55"/>
      <c r="E23" s="60"/>
      <c r="F23" s="55"/>
      <c r="G23" s="60"/>
      <c r="H23" s="55"/>
      <c r="I23" s="60"/>
      <c r="J23" s="55"/>
      <c r="K23" s="60"/>
      <c r="L23" s="55"/>
      <c r="M23" s="60"/>
      <c r="N23" s="55"/>
      <c r="O23" s="60"/>
      <c r="P23" s="55"/>
      <c r="Q23" s="60"/>
      <c r="R23" s="55"/>
      <c r="S23" s="60"/>
      <c r="T23" s="55"/>
      <c r="U23" s="60"/>
      <c r="V23" s="55"/>
      <c r="W23" s="60"/>
      <c r="X23" s="55"/>
      <c r="Y23" s="60"/>
      <c r="Z23" s="55"/>
      <c r="AA23" s="60">
        <f t="shared" si="3"/>
        <v>0</v>
      </c>
      <c r="AB23" s="65"/>
    </row>
    <row r="24" spans="1:28" x14ac:dyDescent="0.3">
      <c r="A24" s="59" t="s">
        <v>73</v>
      </c>
      <c r="B24" s="58"/>
      <c r="C24" s="61">
        <f t="shared" ref="C24:Z24" si="4">SUM(C5:C23)</f>
        <v>9031.08</v>
      </c>
      <c r="D24" s="66">
        <f t="shared" si="4"/>
        <v>8971.1500000000015</v>
      </c>
      <c r="E24" s="61">
        <f t="shared" si="4"/>
        <v>9277.77</v>
      </c>
      <c r="F24" s="66">
        <f t="shared" si="4"/>
        <v>9630.3700000000008</v>
      </c>
      <c r="G24" s="61">
        <f t="shared" si="4"/>
        <v>9388.01</v>
      </c>
      <c r="H24" s="66">
        <f t="shared" si="4"/>
        <v>7486.41</v>
      </c>
      <c r="I24" s="61">
        <f t="shared" si="4"/>
        <v>9472.8799999999992</v>
      </c>
      <c r="J24" s="66">
        <f t="shared" si="4"/>
        <v>2737.38</v>
      </c>
      <c r="K24" s="61">
        <f t="shared" si="4"/>
        <v>9548.26</v>
      </c>
      <c r="L24" s="66">
        <f t="shared" si="4"/>
        <v>2644.96</v>
      </c>
      <c r="M24" s="61">
        <f t="shared" si="4"/>
        <v>9548.26</v>
      </c>
      <c r="N24" s="66">
        <f t="shared" si="4"/>
        <v>0</v>
      </c>
      <c r="O24" s="61">
        <f t="shared" si="4"/>
        <v>9472.8799999999992</v>
      </c>
      <c r="P24" s="66">
        <f t="shared" si="4"/>
        <v>0</v>
      </c>
      <c r="Q24" s="61">
        <f t="shared" si="4"/>
        <v>8531.2799999999988</v>
      </c>
      <c r="R24" s="66">
        <f t="shared" si="4"/>
        <v>0</v>
      </c>
      <c r="S24" s="61">
        <f t="shared" si="4"/>
        <v>8531.2799999999988</v>
      </c>
      <c r="T24" s="66">
        <f t="shared" si="4"/>
        <v>0</v>
      </c>
      <c r="U24" s="61">
        <f t="shared" si="4"/>
        <v>8531.2799999999988</v>
      </c>
      <c r="V24" s="66">
        <f t="shared" si="4"/>
        <v>0</v>
      </c>
      <c r="W24" s="61">
        <f t="shared" si="4"/>
        <v>8531.2799999999988</v>
      </c>
      <c r="X24" s="62">
        <f t="shared" si="4"/>
        <v>0</v>
      </c>
      <c r="Y24" s="61">
        <f t="shared" si="4"/>
        <v>8531.2799999999988</v>
      </c>
      <c r="Z24" s="62">
        <f t="shared" si="4"/>
        <v>0</v>
      </c>
      <c r="AA24" s="58">
        <f>SUM(AA5:AA19)</f>
        <v>108395.54000000001</v>
      </c>
      <c r="AB24" s="59">
        <f>SUM(AB5:AB19)</f>
        <v>28768.820000000003</v>
      </c>
    </row>
  </sheetData>
  <sortState xmlns:xlrd2="http://schemas.microsoft.com/office/spreadsheetml/2017/richdata2" ref="A6:AB24">
    <sortCondition ref="B5:B24"/>
  </sortState>
  <mergeCells count="1">
    <mergeCell ref="A1:AB1"/>
  </mergeCells>
  <pageMargins left="0.51181102362204722" right="0.51181102362204722" top="0.78740157480314965" bottom="0.78740157480314965" header="0.31496062992125984" footer="0.31496062992125984"/>
  <pageSetup paperSize="9" scale="55" orientation="landscape" horizontalDpi="360" verticalDpi="360" r:id="rId1"/>
  <ignoredErrors>
    <ignoredError sqref="AA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Base CR</vt:lpstr>
      <vt:lpstr>Base CP</vt:lpstr>
      <vt:lpstr>Detalhes1</vt:lpstr>
      <vt:lpstr>Din_CR</vt:lpstr>
      <vt:lpstr>Din_CP</vt:lpstr>
      <vt:lpstr>Contas a Pagar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Benevides</dc:creator>
  <cp:lastModifiedBy>Sammya Fernandes</cp:lastModifiedBy>
  <cp:lastPrinted>2026-04-07T00:48:05Z</cp:lastPrinted>
  <dcterms:created xsi:type="dcterms:W3CDTF">2025-07-30T20:25:25Z</dcterms:created>
  <dcterms:modified xsi:type="dcterms:W3CDTF">2026-06-15T13:51:07Z</dcterms:modified>
</cp:coreProperties>
</file>